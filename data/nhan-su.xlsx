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ngPC\Downloads\"/>
    </mc:Choice>
  </mc:AlternateContent>
  <xr:revisionPtr revIDLastSave="0" documentId="13_ncr:1_{A8B6C8E2-7727-4FD7-9E02-6914C08A44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 Nhân lực 2025" sheetId="1" r:id="rId1"/>
  </sheets>
  <definedNames>
    <definedName name="_xlnm._FilterDatabase" localSheetId="0" hidden="1">'Tổng Nhân lực 2025'!$A$1:$P$466</definedName>
    <definedName name="Z_40D27C16_EE5A_423C_B5F5_FA7E1FCF27D9_.wvu.FilterData" localSheetId="0" hidden="1">'Tổng Nhân lực 2025'!$R$3</definedName>
  </definedNames>
  <calcPr calcId="181029"/>
  <customWorkbookViews>
    <customWorkbookView name="Bộ lọc 1" guid="{40D27C16-EE5A-423C-B5F5-FA7E1FCF27D9}" maximized="1" windowWidth="0" windowHeight="0" activeSheetId="0"/>
  </customWorkbookViews>
</workbook>
</file>

<file path=xl/calcChain.xml><?xml version="1.0" encoding="utf-8"?>
<calcChain xmlns="http://schemas.openxmlformats.org/spreadsheetml/2006/main">
  <c r="G482" i="1" l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M467" i="1"/>
  <c r="L467" i="1"/>
  <c r="K467" i="1"/>
  <c r="C467" i="1" s="1"/>
  <c r="J467" i="1"/>
  <c r="I467" i="1"/>
  <c r="H467" i="1"/>
  <c r="E467" i="1"/>
  <c r="D467" i="1"/>
  <c r="G466" i="1"/>
  <c r="F466" i="1"/>
  <c r="A466" i="1"/>
  <c r="G465" i="1"/>
  <c r="A465" i="1"/>
  <c r="G464" i="1"/>
  <c r="A464" i="1"/>
  <c r="G463" i="1"/>
  <c r="A463" i="1"/>
  <c r="G462" i="1"/>
  <c r="A462" i="1"/>
  <c r="G461" i="1"/>
  <c r="A461" i="1"/>
  <c r="G460" i="1"/>
  <c r="A460" i="1"/>
  <c r="G459" i="1"/>
  <c r="A459" i="1"/>
  <c r="G458" i="1"/>
  <c r="A458" i="1"/>
  <c r="G457" i="1"/>
  <c r="F457" i="1"/>
  <c r="A457" i="1"/>
  <c r="G456" i="1"/>
  <c r="A456" i="1"/>
  <c r="A455" i="1"/>
  <c r="G454" i="1"/>
  <c r="F454" i="1"/>
  <c r="A454" i="1"/>
  <c r="G453" i="1"/>
  <c r="F453" i="1"/>
  <c r="A453" i="1"/>
  <c r="G452" i="1"/>
  <c r="F452" i="1"/>
  <c r="A452" i="1"/>
  <c r="G451" i="1"/>
  <c r="F451" i="1"/>
  <c r="A451" i="1"/>
  <c r="G450" i="1"/>
  <c r="F450" i="1"/>
  <c r="A450" i="1"/>
  <c r="G449" i="1"/>
  <c r="F449" i="1"/>
  <c r="A449" i="1"/>
  <c r="G448" i="1"/>
  <c r="F448" i="1"/>
  <c r="A448" i="1"/>
  <c r="G447" i="1"/>
  <c r="F447" i="1"/>
  <c r="A447" i="1"/>
  <c r="G446" i="1"/>
  <c r="F446" i="1"/>
  <c r="G445" i="1"/>
  <c r="F445" i="1"/>
  <c r="A445" i="1"/>
  <c r="G444" i="1"/>
  <c r="F444" i="1"/>
  <c r="A444" i="1"/>
  <c r="G443" i="1"/>
  <c r="F443" i="1"/>
  <c r="A443" i="1"/>
  <c r="G442" i="1"/>
  <c r="F442" i="1"/>
  <c r="A442" i="1"/>
  <c r="G441" i="1"/>
  <c r="F441" i="1"/>
  <c r="A441" i="1"/>
  <c r="G440" i="1"/>
  <c r="F440" i="1"/>
  <c r="A440" i="1"/>
  <c r="G439" i="1"/>
  <c r="F439" i="1"/>
  <c r="A439" i="1"/>
  <c r="G438" i="1"/>
  <c r="F438" i="1"/>
  <c r="A438" i="1"/>
  <c r="G437" i="1"/>
  <c r="F437" i="1"/>
  <c r="A437" i="1"/>
  <c r="G436" i="1"/>
  <c r="F436" i="1"/>
  <c r="A436" i="1"/>
  <c r="G435" i="1"/>
  <c r="F435" i="1"/>
  <c r="A435" i="1"/>
  <c r="G434" i="1"/>
  <c r="F434" i="1"/>
  <c r="A434" i="1"/>
  <c r="G433" i="1"/>
  <c r="F433" i="1"/>
  <c r="A433" i="1"/>
  <c r="G432" i="1"/>
  <c r="F432" i="1"/>
  <c r="A432" i="1"/>
  <c r="G431" i="1"/>
  <c r="F431" i="1"/>
  <c r="A431" i="1"/>
  <c r="G430" i="1"/>
  <c r="F430" i="1"/>
  <c r="A430" i="1"/>
  <c r="G429" i="1"/>
  <c r="F429" i="1"/>
  <c r="A429" i="1"/>
  <c r="G428" i="1"/>
  <c r="F428" i="1"/>
  <c r="A428" i="1"/>
  <c r="G427" i="1"/>
  <c r="F427" i="1"/>
  <c r="A427" i="1"/>
  <c r="G426" i="1"/>
  <c r="F426" i="1"/>
  <c r="A426" i="1"/>
  <c r="G425" i="1"/>
  <c r="F425" i="1"/>
  <c r="A425" i="1"/>
  <c r="G424" i="1"/>
  <c r="F424" i="1"/>
  <c r="A424" i="1"/>
  <c r="G423" i="1"/>
  <c r="F423" i="1"/>
  <c r="A423" i="1"/>
  <c r="G422" i="1"/>
  <c r="A422" i="1"/>
  <c r="G421" i="1"/>
  <c r="F421" i="1"/>
  <c r="A421" i="1"/>
  <c r="G420" i="1"/>
  <c r="F420" i="1"/>
  <c r="A420" i="1"/>
  <c r="G419" i="1"/>
  <c r="F419" i="1"/>
  <c r="A419" i="1"/>
  <c r="G418" i="1"/>
  <c r="F418" i="1"/>
  <c r="A418" i="1"/>
  <c r="G417" i="1"/>
  <c r="F417" i="1"/>
  <c r="A417" i="1"/>
  <c r="G416" i="1"/>
  <c r="F416" i="1"/>
  <c r="A416" i="1"/>
  <c r="G415" i="1"/>
  <c r="F415" i="1"/>
  <c r="A415" i="1"/>
  <c r="G414" i="1"/>
  <c r="F414" i="1"/>
  <c r="A414" i="1"/>
  <c r="G413" i="1"/>
  <c r="F413" i="1"/>
  <c r="A413" i="1"/>
  <c r="G412" i="1"/>
  <c r="F412" i="1"/>
  <c r="A412" i="1"/>
  <c r="G411" i="1"/>
  <c r="F411" i="1"/>
  <c r="A411" i="1"/>
  <c r="G410" i="1"/>
  <c r="F410" i="1"/>
  <c r="A410" i="1"/>
  <c r="G409" i="1"/>
  <c r="F409" i="1"/>
  <c r="A409" i="1"/>
  <c r="G408" i="1"/>
  <c r="F408" i="1"/>
  <c r="A408" i="1"/>
  <c r="A407" i="1"/>
  <c r="G406" i="1"/>
  <c r="F406" i="1"/>
  <c r="A406" i="1"/>
  <c r="G405" i="1"/>
  <c r="F405" i="1"/>
  <c r="A405" i="1"/>
  <c r="G404" i="1"/>
  <c r="F404" i="1"/>
  <c r="A404" i="1"/>
  <c r="G403" i="1"/>
  <c r="F403" i="1"/>
  <c r="A403" i="1"/>
  <c r="G402" i="1"/>
  <c r="F402" i="1"/>
  <c r="A402" i="1"/>
  <c r="G401" i="1"/>
  <c r="F401" i="1"/>
  <c r="A401" i="1"/>
  <c r="G400" i="1"/>
  <c r="F400" i="1"/>
  <c r="A400" i="1"/>
  <c r="G399" i="1"/>
  <c r="F399" i="1"/>
  <c r="A399" i="1"/>
  <c r="G398" i="1"/>
  <c r="F398" i="1"/>
  <c r="A398" i="1"/>
  <c r="G397" i="1"/>
  <c r="F397" i="1"/>
  <c r="A397" i="1"/>
  <c r="G396" i="1"/>
  <c r="F396" i="1"/>
  <c r="A396" i="1"/>
  <c r="G395" i="1"/>
  <c r="F395" i="1"/>
  <c r="A395" i="1"/>
  <c r="G394" i="1"/>
  <c r="F394" i="1"/>
  <c r="A394" i="1"/>
  <c r="G393" i="1"/>
  <c r="F393" i="1"/>
  <c r="A393" i="1"/>
  <c r="G392" i="1"/>
  <c r="F392" i="1"/>
  <c r="A392" i="1"/>
  <c r="G391" i="1"/>
  <c r="F391" i="1"/>
  <c r="A391" i="1"/>
  <c r="G390" i="1"/>
  <c r="F390" i="1"/>
  <c r="A390" i="1"/>
  <c r="G389" i="1"/>
  <c r="F389" i="1"/>
  <c r="A389" i="1"/>
  <c r="G388" i="1"/>
  <c r="F388" i="1"/>
  <c r="A388" i="1"/>
  <c r="G387" i="1"/>
  <c r="F387" i="1"/>
  <c r="A387" i="1"/>
  <c r="G386" i="1"/>
  <c r="F386" i="1"/>
  <c r="A386" i="1"/>
  <c r="G385" i="1"/>
  <c r="F385" i="1"/>
  <c r="A385" i="1"/>
  <c r="G384" i="1"/>
  <c r="F384" i="1"/>
  <c r="A384" i="1"/>
  <c r="G383" i="1"/>
  <c r="F383" i="1"/>
  <c r="A383" i="1"/>
  <c r="G382" i="1"/>
  <c r="F382" i="1"/>
  <c r="A382" i="1"/>
  <c r="G381" i="1"/>
  <c r="F381" i="1"/>
  <c r="A381" i="1"/>
  <c r="G380" i="1"/>
  <c r="F380" i="1"/>
  <c r="A380" i="1"/>
  <c r="G379" i="1"/>
  <c r="F379" i="1"/>
  <c r="A379" i="1"/>
  <c r="G378" i="1"/>
  <c r="F378" i="1"/>
  <c r="A378" i="1"/>
  <c r="G377" i="1"/>
  <c r="F377" i="1"/>
  <c r="A377" i="1"/>
  <c r="G376" i="1"/>
  <c r="F376" i="1"/>
  <c r="A376" i="1"/>
  <c r="G375" i="1"/>
  <c r="F375" i="1"/>
  <c r="A375" i="1"/>
  <c r="G374" i="1"/>
  <c r="F374" i="1"/>
  <c r="A374" i="1"/>
  <c r="G373" i="1"/>
  <c r="F373" i="1"/>
  <c r="A373" i="1"/>
  <c r="G372" i="1"/>
  <c r="F372" i="1"/>
  <c r="A372" i="1"/>
  <c r="G371" i="1"/>
  <c r="F371" i="1"/>
  <c r="A371" i="1"/>
  <c r="G370" i="1"/>
  <c r="F370" i="1"/>
  <c r="A370" i="1"/>
  <c r="G369" i="1"/>
  <c r="F369" i="1"/>
  <c r="A369" i="1"/>
  <c r="G368" i="1"/>
  <c r="F368" i="1"/>
  <c r="A368" i="1"/>
  <c r="G367" i="1"/>
  <c r="F367" i="1"/>
  <c r="A367" i="1"/>
  <c r="G366" i="1"/>
  <c r="F366" i="1"/>
  <c r="A366" i="1"/>
  <c r="G365" i="1"/>
  <c r="F365" i="1"/>
  <c r="A365" i="1"/>
  <c r="G364" i="1"/>
  <c r="F364" i="1"/>
  <c r="A364" i="1"/>
  <c r="G363" i="1"/>
  <c r="F363" i="1"/>
  <c r="A363" i="1"/>
  <c r="G362" i="1"/>
  <c r="F362" i="1"/>
  <c r="A362" i="1"/>
  <c r="G361" i="1"/>
  <c r="F361" i="1"/>
  <c r="A361" i="1"/>
  <c r="G360" i="1"/>
  <c r="F360" i="1"/>
  <c r="A360" i="1"/>
  <c r="G359" i="1"/>
  <c r="F359" i="1"/>
  <c r="A359" i="1"/>
  <c r="G358" i="1"/>
  <c r="F358" i="1"/>
  <c r="A358" i="1"/>
  <c r="G357" i="1"/>
  <c r="F357" i="1"/>
  <c r="A357" i="1"/>
  <c r="G356" i="1"/>
  <c r="F356" i="1"/>
  <c r="A356" i="1"/>
  <c r="G355" i="1"/>
  <c r="F355" i="1"/>
  <c r="A355" i="1"/>
  <c r="G354" i="1"/>
  <c r="F354" i="1"/>
  <c r="A354" i="1"/>
  <c r="G353" i="1"/>
  <c r="F353" i="1"/>
  <c r="A353" i="1"/>
  <c r="G352" i="1"/>
  <c r="F352" i="1"/>
  <c r="A352" i="1"/>
  <c r="G351" i="1"/>
  <c r="F351" i="1"/>
  <c r="A351" i="1"/>
  <c r="G350" i="1"/>
  <c r="F350" i="1"/>
  <c r="A350" i="1"/>
  <c r="G349" i="1"/>
  <c r="F349" i="1"/>
  <c r="A349" i="1"/>
  <c r="G348" i="1"/>
  <c r="F348" i="1"/>
  <c r="A348" i="1"/>
  <c r="G347" i="1"/>
  <c r="F347" i="1"/>
  <c r="A347" i="1"/>
  <c r="G346" i="1"/>
  <c r="F346" i="1"/>
  <c r="A346" i="1"/>
  <c r="G345" i="1"/>
  <c r="F345" i="1"/>
  <c r="A345" i="1"/>
  <c r="G344" i="1"/>
  <c r="F344" i="1"/>
  <c r="A344" i="1"/>
  <c r="G343" i="1"/>
  <c r="F343" i="1"/>
  <c r="A343" i="1"/>
  <c r="G342" i="1"/>
  <c r="F342" i="1"/>
  <c r="A342" i="1"/>
  <c r="G341" i="1"/>
  <c r="F341" i="1"/>
  <c r="A341" i="1"/>
  <c r="G340" i="1"/>
  <c r="F340" i="1"/>
  <c r="A340" i="1"/>
  <c r="G339" i="1"/>
  <c r="F339" i="1"/>
  <c r="A339" i="1"/>
  <c r="G338" i="1"/>
  <c r="F338" i="1"/>
  <c r="A338" i="1"/>
  <c r="G337" i="1"/>
  <c r="F337" i="1"/>
  <c r="A337" i="1"/>
  <c r="G336" i="1"/>
  <c r="F336" i="1"/>
  <c r="A336" i="1"/>
  <c r="G335" i="1"/>
  <c r="F335" i="1"/>
  <c r="A335" i="1"/>
  <c r="G334" i="1"/>
  <c r="F334" i="1"/>
  <c r="A334" i="1"/>
  <c r="G333" i="1"/>
  <c r="F333" i="1"/>
  <c r="A333" i="1"/>
  <c r="G332" i="1"/>
  <c r="F332" i="1"/>
  <c r="A332" i="1"/>
  <c r="G331" i="1"/>
  <c r="F331" i="1"/>
  <c r="A331" i="1"/>
  <c r="G330" i="1"/>
  <c r="F330" i="1"/>
  <c r="A330" i="1"/>
  <c r="G329" i="1"/>
  <c r="F329" i="1"/>
  <c r="A329" i="1"/>
  <c r="G328" i="1"/>
  <c r="F328" i="1"/>
  <c r="A328" i="1"/>
  <c r="G327" i="1"/>
  <c r="F327" i="1"/>
  <c r="A327" i="1"/>
  <c r="G326" i="1"/>
  <c r="F326" i="1"/>
  <c r="A326" i="1"/>
  <c r="G325" i="1"/>
  <c r="F325" i="1"/>
  <c r="A325" i="1"/>
  <c r="G324" i="1"/>
  <c r="F324" i="1"/>
  <c r="A324" i="1"/>
  <c r="G323" i="1"/>
  <c r="F323" i="1"/>
  <c r="A323" i="1"/>
  <c r="G322" i="1"/>
  <c r="F322" i="1"/>
  <c r="A322" i="1"/>
  <c r="G321" i="1"/>
  <c r="F321" i="1"/>
  <c r="A321" i="1"/>
  <c r="G320" i="1"/>
  <c r="F320" i="1"/>
  <c r="A320" i="1"/>
  <c r="G319" i="1"/>
  <c r="F319" i="1"/>
  <c r="A319" i="1"/>
  <c r="G318" i="1"/>
  <c r="F318" i="1"/>
  <c r="A318" i="1"/>
  <c r="G317" i="1"/>
  <c r="F317" i="1"/>
  <c r="A317" i="1"/>
  <c r="G316" i="1"/>
  <c r="F316" i="1"/>
  <c r="A316" i="1"/>
  <c r="G315" i="1"/>
  <c r="F315" i="1"/>
  <c r="A315" i="1"/>
  <c r="G314" i="1"/>
  <c r="F314" i="1"/>
  <c r="A314" i="1"/>
  <c r="G313" i="1"/>
  <c r="F313" i="1"/>
  <c r="A313" i="1"/>
  <c r="G312" i="1"/>
  <c r="F312" i="1"/>
  <c r="A312" i="1"/>
  <c r="G311" i="1"/>
  <c r="F311" i="1"/>
  <c r="A311" i="1"/>
  <c r="G310" i="1"/>
  <c r="F310" i="1"/>
  <c r="A310" i="1"/>
  <c r="G309" i="1"/>
  <c r="F309" i="1"/>
  <c r="A309" i="1"/>
  <c r="G308" i="1"/>
  <c r="F308" i="1"/>
  <c r="A308" i="1"/>
  <c r="G307" i="1"/>
  <c r="F307" i="1"/>
  <c r="A307" i="1"/>
  <c r="A306" i="1"/>
  <c r="G305" i="1"/>
  <c r="F305" i="1"/>
  <c r="A305" i="1"/>
  <c r="G304" i="1"/>
  <c r="F304" i="1"/>
  <c r="A304" i="1"/>
  <c r="G303" i="1"/>
  <c r="F303" i="1"/>
  <c r="A303" i="1"/>
  <c r="G302" i="1"/>
  <c r="F302" i="1"/>
  <c r="A302" i="1"/>
  <c r="G301" i="1"/>
  <c r="F301" i="1"/>
  <c r="A301" i="1"/>
  <c r="G300" i="1"/>
  <c r="F300" i="1"/>
  <c r="A300" i="1"/>
  <c r="G299" i="1"/>
  <c r="F299" i="1"/>
  <c r="A299" i="1"/>
  <c r="G298" i="1"/>
  <c r="F298" i="1"/>
  <c r="A298" i="1"/>
  <c r="G297" i="1"/>
  <c r="F297" i="1"/>
  <c r="A297" i="1"/>
  <c r="G296" i="1"/>
  <c r="F296" i="1"/>
  <c r="A296" i="1"/>
  <c r="G295" i="1"/>
  <c r="F295" i="1"/>
  <c r="A295" i="1"/>
  <c r="G294" i="1"/>
  <c r="F294" i="1"/>
  <c r="A294" i="1"/>
  <c r="G293" i="1"/>
  <c r="F293" i="1"/>
  <c r="A293" i="1"/>
  <c r="G292" i="1"/>
  <c r="F292" i="1"/>
  <c r="A292" i="1"/>
  <c r="G291" i="1"/>
  <c r="F291" i="1"/>
  <c r="A291" i="1"/>
  <c r="G290" i="1"/>
  <c r="F290" i="1"/>
  <c r="A290" i="1"/>
  <c r="G289" i="1"/>
  <c r="F289" i="1"/>
  <c r="A289" i="1"/>
  <c r="G288" i="1"/>
  <c r="F288" i="1"/>
  <c r="A288" i="1"/>
  <c r="G287" i="1"/>
  <c r="F287" i="1"/>
  <c r="A287" i="1"/>
  <c r="G286" i="1"/>
  <c r="F286" i="1"/>
  <c r="A286" i="1"/>
  <c r="G285" i="1"/>
  <c r="F285" i="1"/>
  <c r="A285" i="1"/>
  <c r="G284" i="1"/>
  <c r="F284" i="1"/>
  <c r="A284" i="1"/>
  <c r="G283" i="1"/>
  <c r="F283" i="1"/>
  <c r="A283" i="1"/>
  <c r="G282" i="1"/>
  <c r="F282" i="1"/>
  <c r="A282" i="1"/>
  <c r="G281" i="1"/>
  <c r="F281" i="1"/>
  <c r="A281" i="1"/>
  <c r="G280" i="1"/>
  <c r="F280" i="1"/>
  <c r="A280" i="1"/>
  <c r="G279" i="1"/>
  <c r="F279" i="1"/>
  <c r="A279" i="1"/>
  <c r="G278" i="1"/>
  <c r="F278" i="1"/>
  <c r="A278" i="1"/>
  <c r="G277" i="1"/>
  <c r="F277" i="1"/>
  <c r="A277" i="1"/>
  <c r="G276" i="1"/>
  <c r="F276" i="1"/>
  <c r="A276" i="1"/>
  <c r="G275" i="1"/>
  <c r="F275" i="1"/>
  <c r="A275" i="1"/>
  <c r="G274" i="1"/>
  <c r="F274" i="1"/>
  <c r="A274" i="1"/>
  <c r="G273" i="1"/>
  <c r="F273" i="1"/>
  <c r="A273" i="1"/>
  <c r="G272" i="1"/>
  <c r="F272" i="1"/>
  <c r="A272" i="1"/>
  <c r="G271" i="1"/>
  <c r="F271" i="1"/>
  <c r="A271" i="1"/>
  <c r="G270" i="1"/>
  <c r="F270" i="1"/>
  <c r="A270" i="1"/>
  <c r="G269" i="1"/>
  <c r="F269" i="1"/>
  <c r="A269" i="1"/>
  <c r="G268" i="1"/>
  <c r="F268" i="1"/>
  <c r="A268" i="1"/>
  <c r="G267" i="1"/>
  <c r="F267" i="1"/>
  <c r="A267" i="1"/>
  <c r="G266" i="1"/>
  <c r="F266" i="1"/>
  <c r="A266" i="1"/>
  <c r="G265" i="1"/>
  <c r="F265" i="1"/>
  <c r="A265" i="1"/>
  <c r="G264" i="1"/>
  <c r="F264" i="1"/>
  <c r="A264" i="1"/>
  <c r="G263" i="1"/>
  <c r="F263" i="1"/>
  <c r="A263" i="1"/>
  <c r="G262" i="1"/>
  <c r="F262" i="1"/>
  <c r="A262" i="1"/>
  <c r="G261" i="1"/>
  <c r="F261" i="1"/>
  <c r="A261" i="1"/>
  <c r="G260" i="1"/>
  <c r="F260" i="1"/>
  <c r="A260" i="1"/>
  <c r="G259" i="1"/>
  <c r="F259" i="1"/>
  <c r="A259" i="1"/>
  <c r="G258" i="1"/>
  <c r="F258" i="1"/>
  <c r="A258" i="1"/>
  <c r="G257" i="1"/>
  <c r="F257" i="1"/>
  <c r="A257" i="1"/>
  <c r="G256" i="1"/>
  <c r="F256" i="1"/>
  <c r="A256" i="1"/>
  <c r="G255" i="1"/>
  <c r="F255" i="1"/>
  <c r="A255" i="1"/>
  <c r="G254" i="1"/>
  <c r="F254" i="1"/>
  <c r="A254" i="1"/>
  <c r="G253" i="1"/>
  <c r="F253" i="1"/>
  <c r="A253" i="1"/>
  <c r="G252" i="1"/>
  <c r="F252" i="1"/>
  <c r="A252" i="1"/>
  <c r="G251" i="1"/>
  <c r="F251" i="1"/>
  <c r="A251" i="1"/>
  <c r="G250" i="1"/>
  <c r="F250" i="1"/>
  <c r="A250" i="1"/>
  <c r="G249" i="1"/>
  <c r="F249" i="1"/>
  <c r="A249" i="1"/>
  <c r="G248" i="1"/>
  <c r="F248" i="1"/>
  <c r="A248" i="1"/>
  <c r="G247" i="1"/>
  <c r="F247" i="1"/>
  <c r="A247" i="1"/>
  <c r="G246" i="1"/>
  <c r="F246" i="1"/>
  <c r="A246" i="1"/>
  <c r="G245" i="1"/>
  <c r="F245" i="1"/>
  <c r="A245" i="1"/>
  <c r="G244" i="1"/>
  <c r="F244" i="1"/>
  <c r="A244" i="1"/>
  <c r="G243" i="1"/>
  <c r="F243" i="1"/>
  <c r="A243" i="1"/>
  <c r="G242" i="1"/>
  <c r="F242" i="1"/>
  <c r="A242" i="1"/>
  <c r="G241" i="1"/>
  <c r="F241" i="1"/>
  <c r="A241" i="1"/>
  <c r="A240" i="1"/>
  <c r="G239" i="1"/>
  <c r="F239" i="1"/>
  <c r="A239" i="1"/>
  <c r="G238" i="1"/>
  <c r="F238" i="1"/>
  <c r="A238" i="1"/>
  <c r="G237" i="1"/>
  <c r="F237" i="1"/>
  <c r="A237" i="1"/>
  <c r="G236" i="1"/>
  <c r="F236" i="1"/>
  <c r="A236" i="1"/>
  <c r="G235" i="1"/>
  <c r="F235" i="1"/>
  <c r="A235" i="1"/>
  <c r="G234" i="1"/>
  <c r="F234" i="1"/>
  <c r="A234" i="1"/>
  <c r="G233" i="1"/>
  <c r="F233" i="1"/>
  <c r="A233" i="1"/>
  <c r="G232" i="1"/>
  <c r="F232" i="1"/>
  <c r="A232" i="1"/>
  <c r="G231" i="1"/>
  <c r="F231" i="1"/>
  <c r="A231" i="1"/>
  <c r="G230" i="1"/>
  <c r="F230" i="1"/>
  <c r="A230" i="1"/>
  <c r="G229" i="1"/>
  <c r="F229" i="1"/>
  <c r="A229" i="1"/>
  <c r="G228" i="1"/>
  <c r="F228" i="1"/>
  <c r="A228" i="1"/>
  <c r="G227" i="1"/>
  <c r="F227" i="1"/>
  <c r="A227" i="1"/>
  <c r="G226" i="1"/>
  <c r="F226" i="1"/>
  <c r="A226" i="1"/>
  <c r="G225" i="1"/>
  <c r="F225" i="1"/>
  <c r="A225" i="1"/>
  <c r="G224" i="1"/>
  <c r="F224" i="1"/>
  <c r="A224" i="1"/>
  <c r="G223" i="1"/>
  <c r="F223" i="1"/>
  <c r="A223" i="1"/>
  <c r="G222" i="1"/>
  <c r="F222" i="1"/>
  <c r="A222" i="1"/>
  <c r="G221" i="1"/>
  <c r="F221" i="1"/>
  <c r="A221" i="1"/>
  <c r="G220" i="1"/>
  <c r="F220" i="1"/>
  <c r="A220" i="1"/>
  <c r="G219" i="1"/>
  <c r="F219" i="1"/>
  <c r="A219" i="1"/>
  <c r="G218" i="1"/>
  <c r="F218" i="1"/>
  <c r="A218" i="1"/>
  <c r="G217" i="1"/>
  <c r="F217" i="1"/>
  <c r="A217" i="1"/>
  <c r="G216" i="1"/>
  <c r="F216" i="1"/>
  <c r="A216" i="1"/>
  <c r="G215" i="1"/>
  <c r="F215" i="1"/>
  <c r="A215" i="1"/>
  <c r="G214" i="1"/>
  <c r="F214" i="1"/>
  <c r="A214" i="1"/>
  <c r="G213" i="1"/>
  <c r="F213" i="1"/>
  <c r="A213" i="1"/>
  <c r="G212" i="1"/>
  <c r="F212" i="1"/>
  <c r="A212" i="1"/>
  <c r="G211" i="1"/>
  <c r="F211" i="1"/>
  <c r="A211" i="1"/>
  <c r="G210" i="1"/>
  <c r="F210" i="1"/>
  <c r="A210" i="1"/>
  <c r="G209" i="1"/>
  <c r="F209" i="1"/>
  <c r="A209" i="1"/>
  <c r="G208" i="1"/>
  <c r="F208" i="1"/>
  <c r="A208" i="1"/>
  <c r="G207" i="1"/>
  <c r="F207" i="1"/>
  <c r="A207" i="1"/>
  <c r="G206" i="1"/>
  <c r="F206" i="1"/>
  <c r="A206" i="1"/>
  <c r="G205" i="1"/>
  <c r="F205" i="1"/>
  <c r="A205" i="1"/>
  <c r="G204" i="1"/>
  <c r="F204" i="1"/>
  <c r="A204" i="1"/>
  <c r="G203" i="1"/>
  <c r="F203" i="1"/>
  <c r="A203" i="1"/>
  <c r="G202" i="1"/>
  <c r="F202" i="1"/>
  <c r="A202" i="1"/>
  <c r="G201" i="1"/>
  <c r="F201" i="1"/>
  <c r="A201" i="1"/>
  <c r="G200" i="1"/>
  <c r="F200" i="1"/>
  <c r="A200" i="1"/>
  <c r="G199" i="1"/>
  <c r="F199" i="1"/>
  <c r="A199" i="1"/>
  <c r="G198" i="1"/>
  <c r="F198" i="1"/>
  <c r="A198" i="1"/>
  <c r="G197" i="1"/>
  <c r="F197" i="1"/>
  <c r="A197" i="1"/>
  <c r="G196" i="1"/>
  <c r="F196" i="1"/>
  <c r="A196" i="1"/>
  <c r="G195" i="1"/>
  <c r="F195" i="1"/>
  <c r="A195" i="1"/>
  <c r="G194" i="1"/>
  <c r="F194" i="1"/>
  <c r="A194" i="1"/>
  <c r="G193" i="1"/>
  <c r="F193" i="1"/>
  <c r="A193" i="1"/>
  <c r="G192" i="1"/>
  <c r="F192" i="1"/>
  <c r="A192" i="1"/>
  <c r="G191" i="1"/>
  <c r="F191" i="1"/>
  <c r="A191" i="1"/>
  <c r="G190" i="1"/>
  <c r="F190" i="1"/>
  <c r="A190" i="1"/>
  <c r="G189" i="1"/>
  <c r="F189" i="1"/>
  <c r="A189" i="1"/>
  <c r="G188" i="1"/>
  <c r="F188" i="1"/>
  <c r="A188" i="1"/>
  <c r="G187" i="1"/>
  <c r="F187" i="1"/>
  <c r="A187" i="1"/>
  <c r="G186" i="1"/>
  <c r="F186" i="1"/>
  <c r="A186" i="1"/>
  <c r="G185" i="1"/>
  <c r="F185" i="1"/>
  <c r="A185" i="1"/>
  <c r="G184" i="1"/>
  <c r="F184" i="1"/>
  <c r="A184" i="1"/>
  <c r="A183" i="1"/>
  <c r="G182" i="1"/>
  <c r="F182" i="1"/>
  <c r="A182" i="1"/>
  <c r="G181" i="1"/>
  <c r="F181" i="1"/>
  <c r="A181" i="1"/>
  <c r="G180" i="1"/>
  <c r="F180" i="1"/>
  <c r="A180" i="1"/>
  <c r="G179" i="1"/>
  <c r="F179" i="1"/>
  <c r="A179" i="1"/>
  <c r="G178" i="1"/>
  <c r="F178" i="1"/>
  <c r="A178" i="1"/>
  <c r="G177" i="1"/>
  <c r="F177" i="1"/>
  <c r="A177" i="1"/>
  <c r="G176" i="1"/>
  <c r="F176" i="1"/>
  <c r="A176" i="1"/>
  <c r="G175" i="1"/>
  <c r="F175" i="1"/>
  <c r="A175" i="1"/>
  <c r="G174" i="1"/>
  <c r="F174" i="1"/>
  <c r="A174" i="1"/>
  <c r="G173" i="1"/>
  <c r="F173" i="1"/>
  <c r="A173" i="1"/>
  <c r="G172" i="1"/>
  <c r="F172" i="1"/>
  <c r="A172" i="1"/>
  <c r="G171" i="1"/>
  <c r="F171" i="1"/>
  <c r="A171" i="1"/>
  <c r="G170" i="1"/>
  <c r="F170" i="1"/>
  <c r="A170" i="1"/>
  <c r="G169" i="1"/>
  <c r="F169" i="1"/>
  <c r="A169" i="1"/>
  <c r="G168" i="1"/>
  <c r="F168" i="1"/>
  <c r="A168" i="1"/>
  <c r="G167" i="1"/>
  <c r="F167" i="1"/>
  <c r="A167" i="1"/>
  <c r="G166" i="1"/>
  <c r="F166" i="1"/>
  <c r="A166" i="1"/>
  <c r="G165" i="1"/>
  <c r="F165" i="1"/>
  <c r="A165" i="1"/>
  <c r="G164" i="1"/>
  <c r="F164" i="1"/>
  <c r="A164" i="1"/>
  <c r="G163" i="1"/>
  <c r="F163" i="1"/>
  <c r="A163" i="1"/>
  <c r="G162" i="1"/>
  <c r="F162" i="1"/>
  <c r="A162" i="1"/>
  <c r="G161" i="1"/>
  <c r="F161" i="1"/>
  <c r="A161" i="1"/>
  <c r="G160" i="1"/>
  <c r="F160" i="1"/>
  <c r="A160" i="1"/>
  <c r="G159" i="1"/>
  <c r="F159" i="1"/>
  <c r="A159" i="1"/>
  <c r="G158" i="1"/>
  <c r="F158" i="1"/>
  <c r="A158" i="1"/>
  <c r="G157" i="1"/>
  <c r="F157" i="1"/>
  <c r="A157" i="1"/>
  <c r="G156" i="1"/>
  <c r="F156" i="1"/>
  <c r="A156" i="1"/>
  <c r="G155" i="1"/>
  <c r="F155" i="1"/>
  <c r="A155" i="1"/>
  <c r="G154" i="1"/>
  <c r="F154" i="1"/>
  <c r="A154" i="1"/>
  <c r="G153" i="1"/>
  <c r="F153" i="1"/>
  <c r="A153" i="1"/>
  <c r="G152" i="1"/>
  <c r="F152" i="1"/>
  <c r="A152" i="1"/>
  <c r="G151" i="1"/>
  <c r="F151" i="1"/>
  <c r="A151" i="1"/>
  <c r="G150" i="1"/>
  <c r="F150" i="1"/>
  <c r="A150" i="1"/>
  <c r="G149" i="1"/>
  <c r="F149" i="1"/>
  <c r="A149" i="1"/>
  <c r="G148" i="1"/>
  <c r="F148" i="1"/>
  <c r="A148" i="1"/>
  <c r="G147" i="1"/>
  <c r="F147" i="1"/>
  <c r="A147" i="1"/>
  <c r="G146" i="1"/>
  <c r="F146" i="1"/>
  <c r="A146" i="1"/>
  <c r="G145" i="1"/>
  <c r="F145" i="1"/>
  <c r="A145" i="1"/>
  <c r="G144" i="1"/>
  <c r="F144" i="1"/>
  <c r="A144" i="1"/>
  <c r="G143" i="1"/>
  <c r="F143" i="1"/>
  <c r="A143" i="1"/>
  <c r="G142" i="1"/>
  <c r="F142" i="1"/>
  <c r="A142" i="1"/>
  <c r="G141" i="1"/>
  <c r="F141" i="1"/>
  <c r="A141" i="1"/>
  <c r="G140" i="1"/>
  <c r="F140" i="1"/>
  <c r="A140" i="1"/>
  <c r="G139" i="1"/>
  <c r="F139" i="1"/>
  <c r="A139" i="1"/>
  <c r="G138" i="1"/>
  <c r="F138" i="1"/>
  <c r="A138" i="1"/>
  <c r="G137" i="1"/>
  <c r="F137" i="1"/>
  <c r="A137" i="1"/>
  <c r="G136" i="1"/>
  <c r="F136" i="1"/>
  <c r="A136" i="1"/>
  <c r="G135" i="1"/>
  <c r="F135" i="1"/>
  <c r="A135" i="1"/>
  <c r="G134" i="1"/>
  <c r="F134" i="1"/>
  <c r="A134" i="1"/>
  <c r="G133" i="1"/>
  <c r="F133" i="1"/>
  <c r="A133" i="1"/>
  <c r="G132" i="1"/>
  <c r="F132" i="1"/>
  <c r="A132" i="1"/>
  <c r="G131" i="1"/>
  <c r="F131" i="1"/>
  <c r="A131" i="1"/>
  <c r="G130" i="1"/>
  <c r="F130" i="1"/>
  <c r="A130" i="1"/>
  <c r="G129" i="1"/>
  <c r="F129" i="1"/>
  <c r="A129" i="1"/>
  <c r="G128" i="1"/>
  <c r="F128" i="1"/>
  <c r="A128" i="1"/>
  <c r="G127" i="1"/>
  <c r="F127" i="1"/>
  <c r="A127" i="1"/>
  <c r="G126" i="1"/>
  <c r="F126" i="1"/>
  <c r="A126" i="1"/>
  <c r="G125" i="1"/>
  <c r="F125" i="1"/>
  <c r="A125" i="1"/>
  <c r="G124" i="1"/>
  <c r="F124" i="1"/>
  <c r="A124" i="1"/>
  <c r="G123" i="1"/>
  <c r="F123" i="1"/>
  <c r="A123" i="1"/>
  <c r="G122" i="1"/>
  <c r="F122" i="1"/>
  <c r="A122" i="1"/>
  <c r="G121" i="1"/>
  <c r="F121" i="1"/>
  <c r="A121" i="1"/>
  <c r="G120" i="1"/>
  <c r="F120" i="1"/>
  <c r="A120" i="1"/>
  <c r="G119" i="1"/>
  <c r="F119" i="1"/>
  <c r="A119" i="1"/>
  <c r="G118" i="1"/>
  <c r="F118" i="1"/>
  <c r="A118" i="1"/>
  <c r="G117" i="1"/>
  <c r="F117" i="1"/>
  <c r="A117" i="1"/>
  <c r="G116" i="1"/>
  <c r="F116" i="1"/>
  <c r="A116" i="1"/>
  <c r="G115" i="1"/>
  <c r="F115" i="1"/>
  <c r="A115" i="1"/>
  <c r="G114" i="1"/>
  <c r="F114" i="1"/>
  <c r="A114" i="1"/>
  <c r="G113" i="1"/>
  <c r="F113" i="1"/>
  <c r="A113" i="1"/>
  <c r="G112" i="1"/>
  <c r="F112" i="1"/>
  <c r="A112" i="1"/>
  <c r="G111" i="1"/>
  <c r="F111" i="1"/>
  <c r="A111" i="1"/>
  <c r="G110" i="1"/>
  <c r="F110" i="1"/>
  <c r="A110" i="1"/>
  <c r="G109" i="1"/>
  <c r="F109" i="1"/>
  <c r="A109" i="1"/>
  <c r="G108" i="1"/>
  <c r="F108" i="1"/>
  <c r="A108" i="1"/>
  <c r="G107" i="1"/>
  <c r="F107" i="1"/>
  <c r="A107" i="1"/>
  <c r="G106" i="1"/>
  <c r="F106" i="1"/>
  <c r="A106" i="1"/>
  <c r="G105" i="1"/>
  <c r="F105" i="1"/>
  <c r="A105" i="1"/>
  <c r="G104" i="1"/>
  <c r="F104" i="1"/>
  <c r="A104" i="1"/>
  <c r="G103" i="1"/>
  <c r="F103" i="1"/>
  <c r="A103" i="1"/>
  <c r="G102" i="1"/>
  <c r="A102" i="1"/>
  <c r="G101" i="1"/>
  <c r="F101" i="1"/>
  <c r="A101" i="1"/>
  <c r="G100" i="1"/>
  <c r="F100" i="1"/>
  <c r="A100" i="1"/>
  <c r="G99" i="1"/>
  <c r="F99" i="1"/>
  <c r="A99" i="1"/>
  <c r="G98" i="1"/>
  <c r="F98" i="1"/>
  <c r="A98" i="1"/>
  <c r="G97" i="1"/>
  <c r="F97" i="1"/>
  <c r="A97" i="1"/>
  <c r="G96" i="1"/>
  <c r="F96" i="1"/>
  <c r="A96" i="1"/>
  <c r="G95" i="1"/>
  <c r="F95" i="1"/>
  <c r="A95" i="1"/>
  <c r="G94" i="1"/>
  <c r="F94" i="1"/>
  <c r="A94" i="1"/>
  <c r="G93" i="1"/>
  <c r="F93" i="1"/>
  <c r="A93" i="1"/>
  <c r="G92" i="1"/>
  <c r="F92" i="1"/>
  <c r="A92" i="1"/>
  <c r="G91" i="1"/>
  <c r="F91" i="1"/>
  <c r="A91" i="1"/>
  <c r="G90" i="1"/>
  <c r="F90" i="1"/>
  <c r="A90" i="1"/>
  <c r="G89" i="1"/>
  <c r="F89" i="1"/>
  <c r="A89" i="1"/>
  <c r="G88" i="1"/>
  <c r="F88" i="1"/>
  <c r="A88" i="1"/>
  <c r="G87" i="1"/>
  <c r="F87" i="1"/>
  <c r="A87" i="1"/>
  <c r="G86" i="1"/>
  <c r="F86" i="1"/>
  <c r="A86" i="1"/>
  <c r="G85" i="1"/>
  <c r="F85" i="1"/>
  <c r="A85" i="1"/>
  <c r="G84" i="1"/>
  <c r="F84" i="1"/>
  <c r="A84" i="1"/>
  <c r="G83" i="1"/>
  <c r="F83" i="1"/>
  <c r="A83" i="1"/>
  <c r="G82" i="1"/>
  <c r="F82" i="1"/>
  <c r="A82" i="1"/>
  <c r="G81" i="1"/>
  <c r="F81" i="1"/>
  <c r="A81" i="1"/>
  <c r="G80" i="1"/>
  <c r="F80" i="1"/>
  <c r="A80" i="1"/>
  <c r="G79" i="1"/>
  <c r="F79" i="1"/>
  <c r="A79" i="1"/>
  <c r="G78" i="1"/>
  <c r="F78" i="1"/>
  <c r="A78" i="1"/>
  <c r="G77" i="1"/>
  <c r="F77" i="1"/>
  <c r="A77" i="1"/>
  <c r="G76" i="1"/>
  <c r="F76" i="1"/>
  <c r="A76" i="1"/>
  <c r="G75" i="1"/>
  <c r="F75" i="1"/>
  <c r="A75" i="1"/>
  <c r="G74" i="1"/>
  <c r="F74" i="1"/>
  <c r="A74" i="1"/>
  <c r="G73" i="1"/>
  <c r="F73" i="1"/>
  <c r="A73" i="1"/>
  <c r="G72" i="1"/>
  <c r="F72" i="1"/>
  <c r="A72" i="1"/>
  <c r="G71" i="1"/>
  <c r="G70" i="1"/>
  <c r="F70" i="1"/>
  <c r="A70" i="1"/>
  <c r="G69" i="1"/>
  <c r="F69" i="1"/>
  <c r="A69" i="1"/>
  <c r="G68" i="1"/>
  <c r="F68" i="1"/>
  <c r="A68" i="1"/>
  <c r="G67" i="1"/>
  <c r="F67" i="1"/>
  <c r="A67" i="1"/>
  <c r="G66" i="1"/>
  <c r="F66" i="1"/>
  <c r="A66" i="1"/>
  <c r="G65" i="1"/>
  <c r="F65" i="1"/>
  <c r="A65" i="1"/>
  <c r="G64" i="1"/>
  <c r="F64" i="1"/>
  <c r="A64" i="1"/>
  <c r="G63" i="1"/>
  <c r="F63" i="1"/>
  <c r="A63" i="1"/>
  <c r="G62" i="1"/>
  <c r="F62" i="1"/>
  <c r="A62" i="1"/>
  <c r="G61" i="1"/>
  <c r="F61" i="1"/>
  <c r="A61" i="1"/>
  <c r="G60" i="1"/>
  <c r="F60" i="1"/>
  <c r="A60" i="1"/>
  <c r="G59" i="1"/>
  <c r="F59" i="1"/>
  <c r="A59" i="1"/>
  <c r="G58" i="1"/>
  <c r="F58" i="1"/>
  <c r="A58" i="1"/>
  <c r="G57" i="1"/>
  <c r="F57" i="1"/>
  <c r="A57" i="1"/>
  <c r="G56" i="1"/>
  <c r="F56" i="1"/>
  <c r="A56" i="1"/>
  <c r="G55" i="1"/>
  <c r="F55" i="1"/>
  <c r="A55" i="1"/>
  <c r="G54" i="1"/>
  <c r="F54" i="1"/>
  <c r="A54" i="1"/>
  <c r="G53" i="1"/>
  <c r="F53" i="1"/>
  <c r="A53" i="1"/>
  <c r="G52" i="1"/>
  <c r="F52" i="1"/>
  <c r="A52" i="1"/>
  <c r="G51" i="1"/>
  <c r="F51" i="1"/>
  <c r="A51" i="1"/>
  <c r="G50" i="1"/>
  <c r="F50" i="1"/>
  <c r="A50" i="1"/>
  <c r="G49" i="1"/>
  <c r="F49" i="1"/>
  <c r="A49" i="1"/>
  <c r="G48" i="1"/>
  <c r="F48" i="1"/>
  <c r="A48" i="1"/>
  <c r="G47" i="1"/>
  <c r="F47" i="1"/>
  <c r="A47" i="1"/>
  <c r="G46" i="1"/>
  <c r="F46" i="1"/>
  <c r="A46" i="1"/>
  <c r="G45" i="1"/>
  <c r="F45" i="1"/>
  <c r="A45" i="1"/>
  <c r="G44" i="1"/>
  <c r="F44" i="1"/>
  <c r="A44" i="1"/>
  <c r="G43" i="1"/>
  <c r="F43" i="1"/>
  <c r="A43" i="1"/>
  <c r="G42" i="1"/>
  <c r="F42" i="1"/>
  <c r="A42" i="1"/>
  <c r="G41" i="1"/>
  <c r="F41" i="1"/>
  <c r="A41" i="1"/>
  <c r="G40" i="1"/>
  <c r="F40" i="1"/>
  <c r="A40" i="1"/>
  <c r="G39" i="1"/>
  <c r="F39" i="1"/>
  <c r="A39" i="1"/>
  <c r="G38" i="1"/>
  <c r="F38" i="1"/>
  <c r="A38" i="1"/>
  <c r="G37" i="1"/>
  <c r="F37" i="1"/>
  <c r="A37" i="1"/>
  <c r="G36" i="1"/>
  <c r="F36" i="1"/>
  <c r="A36" i="1"/>
  <c r="G35" i="1"/>
  <c r="F35" i="1"/>
  <c r="A35" i="1"/>
  <c r="G34" i="1"/>
  <c r="F34" i="1"/>
  <c r="A34" i="1"/>
  <c r="G33" i="1"/>
  <c r="F33" i="1"/>
  <c r="A33" i="1"/>
  <c r="G32" i="1"/>
  <c r="F32" i="1"/>
  <c r="A32" i="1"/>
  <c r="G31" i="1"/>
  <c r="F31" i="1"/>
  <c r="A31" i="1"/>
  <c r="G30" i="1"/>
  <c r="F30" i="1"/>
  <c r="A30" i="1"/>
  <c r="G29" i="1"/>
  <c r="F29" i="1"/>
  <c r="A29" i="1"/>
  <c r="G28" i="1"/>
  <c r="F28" i="1"/>
  <c r="A28" i="1"/>
  <c r="G27" i="1"/>
  <c r="F27" i="1"/>
  <c r="A27" i="1"/>
  <c r="G26" i="1"/>
  <c r="F26" i="1"/>
  <c r="A26" i="1"/>
  <c r="G25" i="1"/>
  <c r="F25" i="1"/>
  <c r="A25" i="1"/>
  <c r="G24" i="1"/>
  <c r="F24" i="1"/>
  <c r="A24" i="1"/>
  <c r="G23" i="1"/>
  <c r="F23" i="1"/>
  <c r="A23" i="1"/>
  <c r="G22" i="1"/>
  <c r="F22" i="1"/>
  <c r="A22" i="1"/>
  <c r="G21" i="1"/>
  <c r="F21" i="1"/>
  <c r="A21" i="1"/>
  <c r="G20" i="1"/>
  <c r="F20" i="1"/>
  <c r="A20" i="1"/>
  <c r="G19" i="1"/>
  <c r="F19" i="1"/>
  <c r="A19" i="1"/>
  <c r="G18" i="1"/>
  <c r="F18" i="1"/>
  <c r="A18" i="1"/>
  <c r="F17" i="1"/>
  <c r="A17" i="1"/>
  <c r="G16" i="1"/>
  <c r="F16" i="1"/>
  <c r="A16" i="1"/>
  <c r="G15" i="1"/>
  <c r="F15" i="1"/>
  <c r="A15" i="1"/>
  <c r="G14" i="1"/>
  <c r="F14" i="1"/>
  <c r="A14" i="1"/>
  <c r="G13" i="1"/>
  <c r="F13" i="1"/>
  <c r="A13" i="1"/>
  <c r="G12" i="1"/>
  <c r="F12" i="1"/>
  <c r="A12" i="1"/>
  <c r="G11" i="1"/>
  <c r="F11" i="1"/>
  <c r="A11" i="1"/>
  <c r="G10" i="1"/>
  <c r="F10" i="1"/>
  <c r="A10" i="1"/>
  <c r="G9" i="1"/>
  <c r="F9" i="1"/>
  <c r="A9" i="1"/>
  <c r="G8" i="1"/>
  <c r="F8" i="1"/>
  <c r="A8" i="1"/>
</calcChain>
</file>

<file path=xl/sharedStrings.xml><?xml version="1.0" encoding="utf-8"?>
<sst xmlns="http://schemas.openxmlformats.org/spreadsheetml/2006/main" count="1403" uniqueCount="600">
  <si>
    <t>TRUNG TÂM Y TẾ KHU VỰC LIÊN CHIỂU</t>
  </si>
  <si>
    <t xml:space="preserve">DANH SÁCH VIÊN CHỨC VÀ NGƯỜI LAO ĐỘNG TẠI 
 TRUNG TÂM Y TẾ KHU VỰC LIÊN CHIỂU </t>
  </si>
  <si>
    <t>STT</t>
  </si>
  <si>
    <t>Stt khoa</t>
  </si>
  <si>
    <t>HỌ VÀ TÊN</t>
  </si>
  <si>
    <t>Năm sinh</t>
  </si>
  <si>
    <t>Tuổi</t>
  </si>
  <si>
    <t>Chức vụ</t>
  </si>
  <si>
    <t>TC LLCT</t>
  </si>
  <si>
    <t>Loại hình lao động</t>
  </si>
  <si>
    <t>Trình độ chuyên môn</t>
  </si>
  <si>
    <t>Chức danh nghề nghiệp</t>
  </si>
  <si>
    <t>Ghi chú</t>
  </si>
  <si>
    <t>Nam</t>
  </si>
  <si>
    <t>Nữ</t>
  </si>
  <si>
    <t>Viên chức</t>
  </si>
  <si>
    <t>HĐ 68</t>
  </si>
  <si>
    <t>Trong chỉ tiêu</t>
  </si>
  <si>
    <t>HĐ thỏa thuận cán bộ đã về hưu</t>
  </si>
  <si>
    <t>VV</t>
  </si>
  <si>
    <t>BB</t>
  </si>
  <si>
    <t>Ban lãnh đạo</t>
  </si>
  <si>
    <t>Nguyễn Thành Tân</t>
  </si>
  <si>
    <t>Giám đốc</t>
  </si>
  <si>
    <t>X</t>
  </si>
  <si>
    <t>Bác sĩ CKII chuyên ngành Ngoại khoa</t>
  </si>
  <si>
    <t>Bác sĩ chính (hạng II)</t>
  </si>
  <si>
    <t>Bùi Long Dũng</t>
  </si>
  <si>
    <t>Phó giám đốc</t>
  </si>
  <si>
    <t>Thạc sĩ Bác sĩ chuyên ngành Y khoa</t>
  </si>
  <si>
    <t>Trần Viết Tiến</t>
  </si>
  <si>
    <t>Bác sĩ CKI chuyên ngành Răng Hàm Mặt</t>
  </si>
  <si>
    <t>Phòng Tổ chức-Hành chính</t>
  </si>
  <si>
    <t>Huỳnh Bá Dũng</t>
  </si>
  <si>
    <t>Trưởng phòng</t>
  </si>
  <si>
    <t xml:space="preserve"> </t>
  </si>
  <si>
    <t>CN. Kinh tế</t>
  </si>
  <si>
    <t>Chuyên viên</t>
  </si>
  <si>
    <t>Phạm Thị Mỹ Linh</t>
  </si>
  <si>
    <t>Phó trưởng phòng</t>
  </si>
  <si>
    <t>Thạc sĩ QLC</t>
  </si>
  <si>
    <t>Huỳnh Thị Cẩm Hương</t>
  </si>
  <si>
    <t>Cử nhân kế toán</t>
  </si>
  <si>
    <t>Kế toán viên</t>
  </si>
  <si>
    <t>Nguyễn Thanh Duy</t>
  </si>
  <si>
    <t>Cử nhân Quản lý nhà nước</t>
  </si>
  <si>
    <t>Phùng Thị Ngọc Lan</t>
  </si>
  <si>
    <t>ĐH. Luật kinh tế</t>
  </si>
  <si>
    <t>Bùi Văn Hùng</t>
  </si>
  <si>
    <t>CN. Điện tự động</t>
  </si>
  <si>
    <t>Lê Trọng Nhân</t>
  </si>
  <si>
    <t>CĐ. Kỹ thuật viên</t>
  </si>
  <si>
    <t>Kỹ thuật viên hạng IV</t>
  </si>
  <si>
    <t>Hoàng Văn Dũng</t>
  </si>
  <si>
    <t>Lái xe</t>
  </si>
  <si>
    <t>Phan Quang Quyền</t>
  </si>
  <si>
    <t>Lê Văn Vương</t>
  </si>
  <si>
    <t>Lê Thị Nở</t>
  </si>
  <si>
    <t>CN. Điều dưỡng</t>
  </si>
  <si>
    <t>Điều dưỡng hạng IV</t>
  </si>
  <si>
    <t>Phan Quang Dũng</t>
  </si>
  <si>
    <t>Bảo vệ</t>
  </si>
  <si>
    <t>Phòng Điều Dưỡng</t>
  </si>
  <si>
    <t>Phan Hoàng Vũ</t>
  </si>
  <si>
    <t>Điều dưỡng hạng III</t>
  </si>
  <si>
    <t>Ngô Hoàng Yến Vĩ</t>
  </si>
  <si>
    <t>Hộ sinh ĐH</t>
  </si>
  <si>
    <t>Hộ sinh hạng III</t>
  </si>
  <si>
    <t>Lê Thị Ánh Ngọc</t>
  </si>
  <si>
    <t>Lê Thị Bích Phượng</t>
  </si>
  <si>
    <t>Võ Thị Tây Nguyên</t>
  </si>
  <si>
    <t>Lê Thị Ánh Vân</t>
  </si>
  <si>
    <t>CĐ Điều dưỡng đa khoa</t>
  </si>
  <si>
    <t>Lê Thị Cho</t>
  </si>
  <si>
    <t>Phạm Thị Hồng Thủy</t>
  </si>
  <si>
    <t>Đặng Thị Mỹ Lợi</t>
  </si>
  <si>
    <t>Phòng Kế hoạch-Nghiệp vụ</t>
  </si>
  <si>
    <t>Bùi Tiến</t>
  </si>
  <si>
    <t>Bác sĩ CKI chuyên ngành YHCT</t>
  </si>
  <si>
    <t>Bác sĩ hạng III</t>
  </si>
  <si>
    <t>Nguyễn Thị Mai</t>
  </si>
  <si>
    <t>Thạc sĩ Quản lý bệnh viện</t>
  </si>
  <si>
    <t>Bác sĩ YHDP (hạng III)</t>
  </si>
  <si>
    <t>Đào Thị Túy Duyên</t>
  </si>
  <si>
    <t>Bác sĩ CKI chuyên ngành Nhi khoa</t>
  </si>
  <si>
    <t>Nguyễn Hoài Thảo Vy</t>
  </si>
  <si>
    <t>Bác sĩ YHDP</t>
  </si>
  <si>
    <t>Trần Ngô Quốc Trí</t>
  </si>
  <si>
    <t>Thạc sĩ CNTT</t>
  </si>
  <si>
    <t>Quản trị viên hệ thống hạng III</t>
  </si>
  <si>
    <t>Lê Đình Hoàn</t>
  </si>
  <si>
    <t>Kỹ sư</t>
  </si>
  <si>
    <t>Văn Thị Trường Giang</t>
  </si>
  <si>
    <t>Cn. Y tế công cộng</t>
  </si>
  <si>
    <t>Y tế công cộng hạng III</t>
  </si>
  <si>
    <t>Trương Tấn Minh</t>
  </si>
  <si>
    <t>Trần Hữu Tiến Đạt</t>
  </si>
  <si>
    <t>Đinh Bảo Trâm</t>
  </si>
  <si>
    <t>Trần Thị Hoa Mai</t>
  </si>
  <si>
    <t>Phòng Tài chính - Kế toán</t>
  </si>
  <si>
    <t>Chế Thị Mỹ Linh</t>
  </si>
  <si>
    <t>Thạc sĩ Kế toán</t>
  </si>
  <si>
    <t>Phan Thị Thu Hà</t>
  </si>
  <si>
    <t>Nguyễn Thị Thu Hiền</t>
  </si>
  <si>
    <t>Nguyễn Thị Phụng</t>
  </si>
  <si>
    <t>Trần Thị Ngọc Yên</t>
  </si>
  <si>
    <t>Nguyễn Thị Bích Vân</t>
  </si>
  <si>
    <t>Lê Thị Phương Nga</t>
  </si>
  <si>
    <t>Phạm Thị Mỹ Hồng</t>
  </si>
  <si>
    <t>Võ Phương Dung</t>
  </si>
  <si>
    <t>Nguyễn Thị Hồng Oanh</t>
  </si>
  <si>
    <t>Phạm Thị Minh Thảo</t>
  </si>
  <si>
    <t>Phan Thị Kim Hoa</t>
  </si>
  <si>
    <t>Kế toán TH</t>
  </si>
  <si>
    <t>Đặng Thị Tiết</t>
  </si>
  <si>
    <t>Khoa Dược - Vật tư, thiết bị y tế</t>
  </si>
  <si>
    <t>Phan Thị Thu Hương</t>
  </si>
  <si>
    <t>Trưởng khoa</t>
  </si>
  <si>
    <t>CK1 Dược sĩ</t>
  </si>
  <si>
    <t>Dược sĩ chính (hạng II)</t>
  </si>
  <si>
    <t>Nguyễn Thị Tuyết Nhung</t>
  </si>
  <si>
    <t>Phó trưởng khoa</t>
  </si>
  <si>
    <t>Ths. Dược sĩ</t>
  </si>
  <si>
    <t>Dược hạng III</t>
  </si>
  <si>
    <t>Nguyễn Thị Thanh Tùng</t>
  </si>
  <si>
    <t>Dược sĩ Đại học</t>
  </si>
  <si>
    <t>Lê Thị Kiều Trang</t>
  </si>
  <si>
    <t>Lê Thị Diễm Trinh</t>
  </si>
  <si>
    <t>Hoàng Thị Thu Hiền</t>
  </si>
  <si>
    <t>Hoàng Anh Tuấn</t>
  </si>
  <si>
    <t>Chế Thị Mỹ Chi</t>
  </si>
  <si>
    <t>Trần Viết Thành</t>
  </si>
  <si>
    <t>Nguyễn Thị Thúy Vy</t>
  </si>
  <si>
    <t>Dược sĩ Cao đẳng</t>
  </si>
  <si>
    <t>Dược hạng IV</t>
  </si>
  <si>
    <t>Nguyễn Thị Tiến</t>
  </si>
  <si>
    <t>Hoàng Thị Minh Huệ</t>
  </si>
  <si>
    <t>Trần Thị Mười</t>
  </si>
  <si>
    <t>Trần Kim Ngân</t>
  </si>
  <si>
    <t>Huỳnh Nhật Thảo Vy</t>
  </si>
  <si>
    <t>Lê Thị Minh Tâm</t>
  </si>
  <si>
    <t>Nguyễn Thị Hồng Sương</t>
  </si>
  <si>
    <t>Dược sĩ TH</t>
  </si>
  <si>
    <t>Lê Anh Đức</t>
  </si>
  <si>
    <t>Ngô Viết Thứ</t>
  </si>
  <si>
    <t>Võ Thị Hồng Kim</t>
  </si>
  <si>
    <t>Võ Thị Ánh</t>
  </si>
  <si>
    <t>Khoa Kiểm soát Nhiễm khuẩn</t>
  </si>
  <si>
    <t>Mai Thị Phương</t>
  </si>
  <si>
    <t>Lê Thị Hồng Phúc</t>
  </si>
  <si>
    <t>Nguyễn Thị Ái Trâm</t>
  </si>
  <si>
    <t>Nguyễn Thị Sáu</t>
  </si>
  <si>
    <t>Trương Thị Thanh Nguyên</t>
  </si>
  <si>
    <t>Lê Thị Thôi</t>
  </si>
  <si>
    <t>Hộ lý</t>
  </si>
  <si>
    <t>Phạm Thị Mừng</t>
  </si>
  <si>
    <t>Đỗ Thị Liên</t>
  </si>
  <si>
    <t>Nguyễn Thị Tự</t>
  </si>
  <si>
    <t>Trần Thị Hòa</t>
  </si>
  <si>
    <t>Khoa Xét nghiệm</t>
  </si>
  <si>
    <t>Đoàn Thị Mai</t>
  </si>
  <si>
    <t>Bác sĩ CKI chuyên ngành Hóa sinh Y học</t>
  </si>
  <si>
    <t>Phạm Thị Thanh Thu</t>
  </si>
  <si>
    <t>Bác sĩ đa khoa</t>
  </si>
  <si>
    <t>CN.Kỹ thuật viên chuyên ngành Xét nghiệm</t>
  </si>
  <si>
    <t>Kỹ thuật viên hạng III</t>
  </si>
  <si>
    <t>Trần Thị Thập Linh</t>
  </si>
  <si>
    <t>Trương Tuấn Anh</t>
  </si>
  <si>
    <t>Ngô Thị Cẩm Bình</t>
  </si>
  <si>
    <t>Mai Ngọc Kiều Vy</t>
  </si>
  <si>
    <t>Ngô Thị Bích Trúc</t>
  </si>
  <si>
    <t>Mai Thị Bích Quyên</t>
  </si>
  <si>
    <t>Trần Quang Vũ</t>
  </si>
  <si>
    <t>CKI.Kỹ thuật viên chuyên ngành Xét nghiệm</t>
  </si>
  <si>
    <t>Nguyễn Thị Phú</t>
  </si>
  <si>
    <t>Nguyễn Thị Thu Thuỷ</t>
  </si>
  <si>
    <t>Lê Thị Thuỳ Chiêu</t>
  </si>
  <si>
    <t>Lữ Thị Vĩ</t>
  </si>
  <si>
    <t>Kỹ thuật viên CĐ Y</t>
  </si>
  <si>
    <t>Nguyễn Thị Phúc</t>
  </si>
  <si>
    <t>Khoa Chẩn đoán Hình ảnh</t>
  </si>
  <si>
    <t>Bùi Kim Loan</t>
  </si>
  <si>
    <t>Thạc sĩ Bác sĩ chuyên ngành Chẩn đoán hình ảnh</t>
  </si>
  <si>
    <t>Trần Hồng Quân</t>
  </si>
  <si>
    <t>Bùi Hữu Tân</t>
  </si>
  <si>
    <t>Trương Quang Thắng</t>
  </si>
  <si>
    <t>Bác sĩ CKI chuyên ngành Chẩn đoán hình ảnh</t>
  </si>
  <si>
    <t>Trịnh Hải Minh Tuấn</t>
  </si>
  <si>
    <t>Nguyễn Thị Liên An</t>
  </si>
  <si>
    <t>Dương Đình Kiên</t>
  </si>
  <si>
    <t>Hoàng Thị Phương Anh</t>
  </si>
  <si>
    <t>Hoàng Thị Lê Na</t>
  </si>
  <si>
    <t>Tạ Thị Bình</t>
  </si>
  <si>
    <t>CN.Kỹ thuật viên chuyên ngành Hình ảnh Y học</t>
  </si>
  <si>
    <t>Thái Anh Tuấn</t>
  </si>
  <si>
    <t>Lê Ngọc Quỳnh Tiên</t>
  </si>
  <si>
    <t>Kỹ thuật viên CĐ chuyên ngành Hình ảnh Y học</t>
  </si>
  <si>
    <t>Nguyễn Quốc Hoàng</t>
  </si>
  <si>
    <t>Bùi Triệu Phú</t>
  </si>
  <si>
    <t>Kỹ thuật viên trưởng</t>
  </si>
  <si>
    <t>Trần Văn Học</t>
  </si>
  <si>
    <t>Nguyễn Thị Hiền</t>
  </si>
  <si>
    <t>Phạm Phú Hải</t>
  </si>
  <si>
    <t>Phan Thị Diệp</t>
  </si>
  <si>
    <t>Nguyễn Vươn Chính</t>
  </si>
  <si>
    <t>Kỹ thuật viên TC chuyên ngành X-Quang</t>
  </si>
  <si>
    <t>Phan Công Phước</t>
  </si>
  <si>
    <t>Nguyễn Đình Hoàng Phước</t>
  </si>
  <si>
    <t xml:space="preserve">Khoa Nội </t>
  </si>
  <si>
    <t>Nguyễn Thị Ly Na</t>
  </si>
  <si>
    <t>Bác sĩ CKI chuyên ngành Nội khoa</t>
  </si>
  <si>
    <t>Lê Việt Trung</t>
  </si>
  <si>
    <t>Nguyễn Thị Kim Thanh</t>
  </si>
  <si>
    <t>Thạc sĩ Bác sĩ chuyên ngành Nội khoa</t>
  </si>
  <si>
    <t>Trần Thị Thanh Nga</t>
  </si>
  <si>
    <t>Chu Lan Huệ</t>
  </si>
  <si>
    <t>Trương Đạt Hướng</t>
  </si>
  <si>
    <t>Võ Trung Phước</t>
  </si>
  <si>
    <t>Nguyễn Thị Diễm My</t>
  </si>
  <si>
    <t>Hoàng Thị Phương Thảo</t>
  </si>
  <si>
    <t>Nguyễn Thảo My</t>
  </si>
  <si>
    <t>Ngô Thị Tuyết Nhung</t>
  </si>
  <si>
    <t>Phan Hữu Nhân</t>
  </si>
  <si>
    <t>Nguyễn Thị Đang Trang</t>
  </si>
  <si>
    <t>Điều dưỡng trưởng khoa</t>
  </si>
  <si>
    <t>Nguyễn Thị Thùy Nhung</t>
  </si>
  <si>
    <t>Nguyễn Thị Thục</t>
  </si>
  <si>
    <t>Phạm Thị Nguyệt Nhi</t>
  </si>
  <si>
    <t>Trần Thị Thanh Hằng</t>
  </si>
  <si>
    <t>Nguyễn Trần Kim Ngân</t>
  </si>
  <si>
    <t>Nguyễn Thị Hoàng Yến</t>
  </si>
  <si>
    <t>Trần Thị Lệ</t>
  </si>
  <si>
    <t>Nguyễn Thị Diệu</t>
  </si>
  <si>
    <t>Châu Thị Minh Phương</t>
  </si>
  <si>
    <t>Nguyễn Lê Thùy Trang</t>
  </si>
  <si>
    <t>Phạm Thị Phương Thảo</t>
  </si>
  <si>
    <t>Dương Thị Kim Phương</t>
  </si>
  <si>
    <t>Ngô Thị Trúc Nhân</t>
  </si>
  <si>
    <t>Phạm Thị Vân</t>
  </si>
  <si>
    <t>Nguyễn Thị Gái</t>
  </si>
  <si>
    <t>Bùi Văn Long</t>
  </si>
  <si>
    <t>Đặng Thị Cẩm Nhung</t>
  </si>
  <si>
    <t>Trần Thị Khánh Huyền</t>
  </si>
  <si>
    <t>Mai Thị Tâm</t>
  </si>
  <si>
    <t>CĐ Điều dưỡng</t>
  </si>
  <si>
    <t>Khoa Cấp cứu - Hồi sức tích cực</t>
  </si>
  <si>
    <t>Đinh Văn Thiều</t>
  </si>
  <si>
    <t>Lê Văn Ý Tiến</t>
  </si>
  <si>
    <t>Trần Thị Lan</t>
  </si>
  <si>
    <t>Nguyễn Thị Mỹ Loan</t>
  </si>
  <si>
    <t>Phạm Thị Cẩm Thảo</t>
  </si>
  <si>
    <t>Đồng Thị Kim Dung</t>
  </si>
  <si>
    <t>Nguyễn Thị Mỹ Lợi</t>
  </si>
  <si>
    <t>Lê Thị Diệu Loan</t>
  </si>
  <si>
    <t>Võ Thị Mỹ Hạnh</t>
  </si>
  <si>
    <t>Trần Nhật Lệ</t>
  </si>
  <si>
    <t>Đặng Thị Nhung</t>
  </si>
  <si>
    <t>Huỳnh Lê Như Ngọc</t>
  </si>
  <si>
    <t>Đinh Thị Thu Hiền</t>
  </si>
  <si>
    <t>Phạm Thị Quế Phượng</t>
  </si>
  <si>
    <t>CĐ CNTT</t>
  </si>
  <si>
    <t>Đặng Thị Út</t>
  </si>
  <si>
    <t>Khoa Nhi</t>
  </si>
  <si>
    <t>Phan Thị Ngọc Yến</t>
  </si>
  <si>
    <t>Phan Châu Yến Nhi</t>
  </si>
  <si>
    <t>Thạc sĩ chuyên ngành Nhi khoa</t>
  </si>
  <si>
    <t>Lê Văn Sỹ</t>
  </si>
  <si>
    <t>Trần Thị Vy Vy</t>
  </si>
  <si>
    <t>CKI chuyên ngành Nhi khoa</t>
  </si>
  <si>
    <t>Hồ Thy Ngân</t>
  </si>
  <si>
    <t>Trần Thị Xuân Trang</t>
  </si>
  <si>
    <t>Lê Thị Nhật Hà</t>
  </si>
  <si>
    <t>Nguyễn Phan Liên Hải</t>
  </si>
  <si>
    <t>Đang học CKI</t>
  </si>
  <si>
    <t>Lê Thị Bình</t>
  </si>
  <si>
    <t>Nguyễn Thị Đài Trang</t>
  </si>
  <si>
    <t>Phan Thị Mỹ Dung</t>
  </si>
  <si>
    <t>Lê Thị Thu Vân</t>
  </si>
  <si>
    <t>Nguyễn Thị Thảo</t>
  </si>
  <si>
    <t>Nguyễn Thị Quỳnh Nga</t>
  </si>
  <si>
    <t>Lê Thị Mỹ Tiên</t>
  </si>
  <si>
    <t>Phan Tại Lê Nam</t>
  </si>
  <si>
    <t>Nguyễn Thùy Vân Hoài</t>
  </si>
  <si>
    <t>Nguyễn Thị Kim Anh</t>
  </si>
  <si>
    <t>CK1 Điều dưỡng</t>
  </si>
  <si>
    <t>Lê Thị Mỹ Trinh</t>
  </si>
  <si>
    <t>Nguyễn Thị Kim Giang</t>
  </si>
  <si>
    <t>Nguyễn Đinh Bảo Trân</t>
  </si>
  <si>
    <t>Lê Thị Lành</t>
  </si>
  <si>
    <t>Nguyễn Thị Phong</t>
  </si>
  <si>
    <t>Nguyễn Thị Tố Dung</t>
  </si>
  <si>
    <t>Võ Thị Ni Na</t>
  </si>
  <si>
    <t>Đoàn Thị Ánh Hương</t>
  </si>
  <si>
    <t>Nguyễn Thị Trà My</t>
  </si>
  <si>
    <t>Nguyễn Thị Tâm</t>
  </si>
  <si>
    <t>Nguyễn Thị Kim Dung</t>
  </si>
  <si>
    <t>Nguyễn Hải Nam</t>
  </si>
  <si>
    <t>Nguyễn Mai Thị Khánh Ly</t>
  </si>
  <si>
    <t>Trần Thị Thương</t>
  </si>
  <si>
    <t>Nguyễn Thị Thùy Trang</t>
  </si>
  <si>
    <t xml:space="preserve">Khoa Ngoại </t>
  </si>
  <si>
    <t>Trần Hữu Lâm</t>
  </si>
  <si>
    <t>Bác sĩ CKI chuyên ngành Ngoại khoa</t>
  </si>
  <si>
    <t>Phạm Tuấn Anh</t>
  </si>
  <si>
    <t>Phan Võ Thanh Khang</t>
  </si>
  <si>
    <t>Lê Đức Thọ</t>
  </si>
  <si>
    <t>Phạm Hoàng Long</t>
  </si>
  <si>
    <t>Dương Văn Hiệp</t>
  </si>
  <si>
    <t>Vi Văn Kỳ</t>
  </si>
  <si>
    <t>Đinh Quốc Long</t>
  </si>
  <si>
    <t>Đỗ Thị Thanh Thanh</t>
  </si>
  <si>
    <t>Nguyễn Thị Thu Phương</t>
  </si>
  <si>
    <t>Bác sĩ CKI chuyên ngành Da liễu</t>
  </si>
  <si>
    <t>Lê Hà My</t>
  </si>
  <si>
    <t>Huỳnh Thị Kim Yến</t>
  </si>
  <si>
    <t>Đặng Thị Thu Thuý</t>
  </si>
  <si>
    <t>Trần Đình Phước</t>
  </si>
  <si>
    <t>Bùi Thùy Mai Linh</t>
  </si>
  <si>
    <t>Trương Thị Mẫn Vy</t>
  </si>
  <si>
    <t>Nguyễn Thị Tường Vi</t>
  </si>
  <si>
    <t>Nguyễn Thị Minh Tuyền</t>
  </si>
  <si>
    <t>Trương Văn Phước</t>
  </si>
  <si>
    <t>Đinh Thị Như Ý</t>
  </si>
  <si>
    <t>Phạm Thị Tố Trinh</t>
  </si>
  <si>
    <t>Lê Văn Tiền</t>
  </si>
  <si>
    <t>Lê Hoàng Huyên</t>
  </si>
  <si>
    <t>Nguyễn Thị Hương</t>
  </si>
  <si>
    <t>Trần Thị Mai</t>
  </si>
  <si>
    <t>Khoa Phẩu thuật - Gây mê hồi sức</t>
  </si>
  <si>
    <t>Phan Thế Công</t>
  </si>
  <si>
    <t>Bùi Thanh Hưng</t>
  </si>
  <si>
    <t>Trần Minh Phương</t>
  </si>
  <si>
    <t>Lê Hoàng Hiệp</t>
  </si>
  <si>
    <t>Mạc Như Quang</t>
  </si>
  <si>
    <t>CN.Kỹ thuật viên chuyên ngành GMHS</t>
  </si>
  <si>
    <t>Huỳnh Kim Nghĩa</t>
  </si>
  <si>
    <t>Điều dưỡng Cao đẳng chuyên ngành GMHS</t>
  </si>
  <si>
    <t>Đặng Nữ Thuỳ Trang</t>
  </si>
  <si>
    <t>Võ Thị Quỳnh Trang</t>
  </si>
  <si>
    <t>Phan Huỳnh Mỹ Duyên</t>
  </si>
  <si>
    <t>Trần Vũ Quỳnh Duyên</t>
  </si>
  <si>
    <t>Phạm Thị Thu Hiền</t>
  </si>
  <si>
    <t>Phạm Thị Kim Phương</t>
  </si>
  <si>
    <t>Phan Thị Minh Thuận</t>
  </si>
  <si>
    <t>Trần Thị Kiều Trinh</t>
  </si>
  <si>
    <t>Nguyễn Thị Bất</t>
  </si>
  <si>
    <t>Khoa Phụ sản-CSSKSS</t>
  </si>
  <si>
    <t>Trần Thị Hồng Điểm</t>
  </si>
  <si>
    <t>Trưởng Khoa</t>
  </si>
  <si>
    <t>Bác sĩ CKI chuyên ngành Sản khoa</t>
  </si>
  <si>
    <t>Nguyễn Tiến Chung</t>
  </si>
  <si>
    <t>Nguyễn Văn Liêm</t>
  </si>
  <si>
    <t>Nguyễn Hữu Vinh</t>
  </si>
  <si>
    <t>Bế Thị Xuân</t>
  </si>
  <si>
    <t>Cao Thị Ánh Nhi</t>
  </si>
  <si>
    <t>Trần Thị Khánh Vân</t>
  </si>
  <si>
    <t>Lê Thanh Tùng</t>
  </si>
  <si>
    <t>Nguyễn Thị Anh Tâm</t>
  </si>
  <si>
    <t>Hoàng Thị Minh Phương</t>
  </si>
  <si>
    <t>Hộ sinh trưởng khoa</t>
  </si>
  <si>
    <t>Trương Thị Lệ Tảo</t>
  </si>
  <si>
    <t>Nguyễn Thị Đỗ Quyên</t>
  </si>
  <si>
    <t>Dương Thị Ái Hương</t>
  </si>
  <si>
    <t>Lê Thị Phượng</t>
  </si>
  <si>
    <t>Hồ Thị Trinh</t>
  </si>
  <si>
    <t>Nguyễn Thị Tuyết Trinh</t>
  </si>
  <si>
    <t>Hộ sinh hạng IV</t>
  </si>
  <si>
    <t>Trần Thị Mẫn Linh</t>
  </si>
  <si>
    <t>Ngô Thị Thanh Thủy</t>
  </si>
  <si>
    <t>Nguyễn Thị Thanh Hiệp</t>
  </si>
  <si>
    <t>Phạm Thị Nhã</t>
  </si>
  <si>
    <t>Hộ sinh CĐ</t>
  </si>
  <si>
    <t>Lê Long Uyên</t>
  </si>
  <si>
    <t>Nguyễn Thị Mỹ Hậu</t>
  </si>
  <si>
    <t>Nguyễn Hồng Phương Nhi</t>
  </si>
  <si>
    <t>Hoàng Tố Uyên</t>
  </si>
  <si>
    <t>Lê Thị Minh Lộc</t>
  </si>
  <si>
    <t>Tổ Chăm sóc SKSS</t>
  </si>
  <si>
    <t>Phạm Yến Quỳnh</t>
  </si>
  <si>
    <t>Bác sĩ định hướng Sản khoa</t>
  </si>
  <si>
    <t>Mai Thị Kim Loan</t>
  </si>
  <si>
    <t>Nguyễn Thị Như Ngọc</t>
  </si>
  <si>
    <t>Khoa Khám bệnh</t>
  </si>
  <si>
    <t>Nguyễn Thị Châu Loan</t>
  </si>
  <si>
    <t>Trần Duy Hòa</t>
  </si>
  <si>
    <t>Phạm Thị Hoa</t>
  </si>
  <si>
    <t>Lê Thị Thu Nga</t>
  </si>
  <si>
    <t>Nguyễn Thị Hà</t>
  </si>
  <si>
    <t>Vương Phùng Thư</t>
  </si>
  <si>
    <t>Phan Quang Thương</t>
  </si>
  <si>
    <t>Đoàn Thị Ngọc Phước</t>
  </si>
  <si>
    <t>Lê Thị Hồng Liên</t>
  </si>
  <si>
    <t>Điều dưỡng trưởng khoa kiêm Phó TP Điều dưỡng</t>
  </si>
  <si>
    <t>CKI. Điều dưỡng</t>
  </si>
  <si>
    <t>Bùi Thị Non</t>
  </si>
  <si>
    <t>Nguyễn Thị Thúy Quyên</t>
  </si>
  <si>
    <t>Trương Thị Thu Yến</t>
  </si>
  <si>
    <t>Mai Thị Ánh Vân</t>
  </si>
  <si>
    <t>Trần Thị Kiều Oanh</t>
  </si>
  <si>
    <t>Lương Thị Ngọc Hảo</t>
  </si>
  <si>
    <t>Tống Thị Thanh Thủy</t>
  </si>
  <si>
    <t>Phạm Thị Thu Hằng</t>
  </si>
  <si>
    <t>Hồ Nguyễn Thụy Tuyết Hồng</t>
  </si>
  <si>
    <t>Lâm Thị Hải Vân</t>
  </si>
  <si>
    <t>Khoa Truyền nhiễm</t>
  </si>
  <si>
    <t>Lê Thế Phước</t>
  </si>
  <si>
    <t>Nguyễn Văn Linh</t>
  </si>
  <si>
    <t>Trần Thị Thu Thương</t>
  </si>
  <si>
    <t>Trần Thị Thanh Nhựt</t>
  </si>
  <si>
    <t>Trần Thị Thanh Thảo</t>
  </si>
  <si>
    <t>Ngô Thị Vân Na</t>
  </si>
  <si>
    <t>Nguyễn Thị Minh Châu</t>
  </si>
  <si>
    <t>Hoàng Nguyễn Mỹ Duyên</t>
  </si>
  <si>
    <t>Lê Thị Thảo</t>
  </si>
  <si>
    <t>Nguyễn Thị Thanh Nga</t>
  </si>
  <si>
    <t>Trần Thị Thu Đông</t>
  </si>
  <si>
    <t>Khoa Răng Hàm mặt - Mắt - Tai mũi họng</t>
  </si>
  <si>
    <t>Đoàn Nhật Khánh</t>
  </si>
  <si>
    <t>Bác sĩ CKI chuyên ngành Tai Mũi Họng</t>
  </si>
  <si>
    <t>Đang học CKII</t>
  </si>
  <si>
    <t>Võ Thị Mỹ Hiếu</t>
  </si>
  <si>
    <t>Nguyễn Cửu Cường</t>
  </si>
  <si>
    <t>P. Trưởng khoa</t>
  </si>
  <si>
    <t>Nguyễn Thị Sơn Tuyền</t>
  </si>
  <si>
    <t>Bác sĩ Răng Hàm Mặt</t>
  </si>
  <si>
    <t>Tăng Ngọc Phương Tâm</t>
  </si>
  <si>
    <t>Bác sĩ CKI Răng Hàm Mặt</t>
  </si>
  <si>
    <t>Nguyễn Lê Tường Minh</t>
  </si>
  <si>
    <t>Võ Huỳnh Duy Vũ</t>
  </si>
  <si>
    <t>Đang học định hướng CK Mắt</t>
  </si>
  <si>
    <t>Ngô Gia Bảo</t>
  </si>
  <si>
    <t>Võ Duy Lân</t>
  </si>
  <si>
    <t>Nguyễn Thị Hồng Trâm</t>
  </si>
  <si>
    <t>Dương Thị Thảo Quyên</t>
  </si>
  <si>
    <t>Lê Thị Thu Thủy</t>
  </si>
  <si>
    <t>Vũ Tố Trâm</t>
  </si>
  <si>
    <t>Nguyễn Thị Tuyết Nhi</t>
  </si>
  <si>
    <t>CN. Điều dưỡng Nha khoa</t>
  </si>
  <si>
    <t>Phạm Hoàng Phúc</t>
  </si>
  <si>
    <t>Nguyễn Trần Uy Kha</t>
  </si>
  <si>
    <t>Ngô Thị Ngọc Tuyền</t>
  </si>
  <si>
    <t>Nguyễn Thị Diễm</t>
  </si>
  <si>
    <t>Nguyễn Cửu Khoa</t>
  </si>
  <si>
    <t>Lê Thị Thương</t>
  </si>
  <si>
    <t>Khoa Y học cổ truyền và Phục hồi chức năng</t>
  </si>
  <si>
    <t>Nguyễn Đình Phát</t>
  </si>
  <si>
    <t>Ngô Văn Khanh</t>
  </si>
  <si>
    <t>Nguyễn Đình Minh Đạt</t>
  </si>
  <si>
    <t>Thạc sĩ Bác sĩ chuyên ngành YHCT</t>
  </si>
  <si>
    <t>Ngô Thị Kiều Vi</t>
  </si>
  <si>
    <t>Bác sĩ YHCT</t>
  </si>
  <si>
    <t>Phan Thị Diễm Kiều</t>
  </si>
  <si>
    <t>Y sĩ YHCT</t>
  </si>
  <si>
    <t>Y sĩ hạng IV</t>
  </si>
  <si>
    <t>Nguyễn Thị Lợi</t>
  </si>
  <si>
    <t>CN. Kỹ thuật viên chuyên ngành VLTL/PHCN</t>
  </si>
  <si>
    <t>Nguyễn Thị Đẵng</t>
  </si>
  <si>
    <t>Kỹ thuật viên CĐ chuyên ngành VLTL/PHCN</t>
  </si>
  <si>
    <t>Trương Thị Thu Thủy</t>
  </si>
  <si>
    <t>Lê Thị Quy Nin</t>
  </si>
  <si>
    <t>Nguyễn Thị Phương Thảo</t>
  </si>
  <si>
    <t>Phòng Dân số</t>
  </si>
  <si>
    <t>Dương Thị Vân</t>
  </si>
  <si>
    <t>Dân số viên</t>
  </si>
  <si>
    <t>Dân số viên hạng III</t>
  </si>
  <si>
    <t>Nguyễn Quốc Hưng</t>
  </si>
  <si>
    <t>Hồng Thị Phương Hằng</t>
  </si>
  <si>
    <t>Nguyễn Thị Thanh Thảo</t>
  </si>
  <si>
    <t>Ngô Thị Mỹ Hạnh</t>
  </si>
  <si>
    <t>Khoa Kiểm soát bệnh tật và HIV/AIDS</t>
  </si>
  <si>
    <t>Nguyễn Văn Khanh</t>
  </si>
  <si>
    <t>Thạc sĩ kỹ sư chuyên ngành Ký sinh trùng Y học</t>
  </si>
  <si>
    <t>Kỹ sư III</t>
  </si>
  <si>
    <t>Hoàng Thị Hồng</t>
  </si>
  <si>
    <t>Thạc sĩ. Y tế công cộng</t>
  </si>
  <si>
    <t>Nguyễn Phú Tiến</t>
  </si>
  <si>
    <t>Trương Thái Dương</t>
  </si>
  <si>
    <t>Hà Thị Hạnh</t>
  </si>
  <si>
    <t>Nguyễn Lê Anh Thư</t>
  </si>
  <si>
    <t>Trương Thị Nghĩa</t>
  </si>
  <si>
    <t>Phạm Thị Mỹ Liên</t>
  </si>
  <si>
    <t>Phạm Thị Kim Hoa</t>
  </si>
  <si>
    <t>Điều dưỡng TH đa khoa</t>
  </si>
  <si>
    <t>Nguyễn Tấn Huỳnh</t>
  </si>
  <si>
    <t>Y sĩ đa khoa</t>
  </si>
  <si>
    <t>Phạm Lê Hùng</t>
  </si>
  <si>
    <t>Nguyễn Đình Khánh</t>
  </si>
  <si>
    <t>Khoa Y tế công cộng-Dinh dưỡng và an toàn thực phẩm</t>
  </si>
  <si>
    <t>Huỳnh Bá Phương Linh</t>
  </si>
  <si>
    <t>Tiến sĩ chuyên ngành Y tế công cộng</t>
  </si>
  <si>
    <t xml:space="preserve">  </t>
  </si>
  <si>
    <t>Võ Phạm Mi Trang</t>
  </si>
  <si>
    <t>Thạc sĩ chuyên ngành Dinh dưỡng</t>
  </si>
  <si>
    <t>Lê Công Thái</t>
  </si>
  <si>
    <t>Bác sĩ YHDP CKI gia đình</t>
  </si>
  <si>
    <t>Nguyễn Thị Quỳnh Như</t>
  </si>
  <si>
    <t>Nguyễn Minh Khoa</t>
  </si>
  <si>
    <t>Võ Thị Trang</t>
  </si>
  <si>
    <t>Lê Thị Như Nguyệt</t>
  </si>
  <si>
    <t>Thạc sĩ chuyên ngành ATTP</t>
  </si>
  <si>
    <t>ĐIỂM TYT phường Hải Vân 1</t>
  </si>
  <si>
    <t>Đoàn Thị Phương Thảo</t>
  </si>
  <si>
    <t>Phó trưởng trạm</t>
  </si>
  <si>
    <t>Phan Thị Diệu</t>
  </si>
  <si>
    <t>Phạm Nguyên Khánh</t>
  </si>
  <si>
    <t>Vũ Thị Dung</t>
  </si>
  <si>
    <t>Nguyễn Thị Hoàng Hiếu</t>
  </si>
  <si>
    <t>Trương Thị Ngọc Xuân</t>
  </si>
  <si>
    <t>CĐ Dược</t>
  </si>
  <si>
    <t>Dân số viên hạng IV</t>
  </si>
  <si>
    <t>TYT phường Hải Vân</t>
  </si>
  <si>
    <t>Nguyễn Thị Huệ</t>
  </si>
  <si>
    <t>Trưởng trạm</t>
  </si>
  <si>
    <t>Lê Thị Giỏi</t>
  </si>
  <si>
    <t>Lê Thị Mỹ</t>
  </si>
  <si>
    <t>Huỳnh Quốc Khánh Nguyên</t>
  </si>
  <si>
    <t>Nguyễn Thị Hoài Bảo</t>
  </si>
  <si>
    <t>Vũ Minh Phương</t>
  </si>
  <si>
    <t>Dược sĩ ĐH</t>
  </si>
  <si>
    <t>Đoàn Thị Huế</t>
  </si>
  <si>
    <t>Lê Thị Hồng Yến</t>
  </si>
  <si>
    <t>Châu Thị Hậu</t>
  </si>
  <si>
    <t>ĐIỂM TYT phường Hải Vân 2</t>
  </si>
  <si>
    <t>Phan Văn Hiệp</t>
  </si>
  <si>
    <t>Trương Như Ngưng</t>
  </si>
  <si>
    <t>Điều dưỡng sơ cấp</t>
  </si>
  <si>
    <t>Đinh Hồng Mười</t>
  </si>
  <si>
    <t>Kỹ thuật Y hạng IV</t>
  </si>
  <si>
    <t>Đinh Thị Hồng</t>
  </si>
  <si>
    <t>Đinh Thị Lợi</t>
  </si>
  <si>
    <t>Phan Thị Thương</t>
  </si>
  <si>
    <t>Hồ Thị Kim Tuyền</t>
  </si>
  <si>
    <t>Trương Thị Yến</t>
  </si>
  <si>
    <t>Lương Lam Tuyền</t>
  </si>
  <si>
    <t>Dược sĩ hạng IV</t>
  </si>
  <si>
    <t>Bùi Minh Huy</t>
  </si>
  <si>
    <t>ĐIỂM TYT phường Hải Vân 3</t>
  </si>
  <si>
    <t>Trần Thị Hà</t>
  </si>
  <si>
    <t>Trần Văn Định</t>
  </si>
  <si>
    <t>Trương Như Vũ</t>
  </si>
  <si>
    <t>TYT Hòa Khánh</t>
  </si>
  <si>
    <t>Phạm Chải</t>
  </si>
  <si>
    <t>Lê Thị Vang</t>
  </si>
  <si>
    <t>Đặng Thị Thu Hà</t>
  </si>
  <si>
    <t>Nguyễn Văn Chinh</t>
  </si>
  <si>
    <t>Lê Thị Thu Hải</t>
  </si>
  <si>
    <t>Nguyễn Thị Phương Trinh</t>
  </si>
  <si>
    <t>Điều dưỡng Cao đẳng</t>
  </si>
  <si>
    <t>Trần Diệu Trí</t>
  </si>
  <si>
    <t>Trần Thị Hạ</t>
  </si>
  <si>
    <t>Lê Thị Ly Ly</t>
  </si>
  <si>
    <t>Trần Thị Như Thủy</t>
  </si>
  <si>
    <t xml:space="preserve">ĐIỂM TYT Hòa Khánh 1 </t>
  </si>
  <si>
    <t>Võ Thị Nga</t>
  </si>
  <si>
    <t>Nguyễn Thị Thuỷ</t>
  </si>
  <si>
    <t>Nguyễn Đình Duy Hải</t>
  </si>
  <si>
    <t>Trần Thị Yến</t>
  </si>
  <si>
    <t>Nguyễn Thị Ngoa</t>
  </si>
  <si>
    <t>Điều dưỡng CĐ đa khoa</t>
  </si>
  <si>
    <t>Phan Thị Thanh Xuân</t>
  </si>
  <si>
    <t>Phan Thị Hồng Tươi</t>
  </si>
  <si>
    <t>CN. QLNN</t>
  </si>
  <si>
    <t>ĐIỂM TYT Hòa Khánh 2</t>
  </si>
  <si>
    <t>Nguyễn Thị Mỹ Châu</t>
  </si>
  <si>
    <t>Đinh Thị Bưởi</t>
  </si>
  <si>
    <t>Phan Thị Thanh Thủy</t>
  </si>
  <si>
    <t>Nguyễn Thị Thùy Linh</t>
  </si>
  <si>
    <t>Lê Thị Vân</t>
  </si>
  <si>
    <t>Trương Thị Thúy Vân</t>
  </si>
  <si>
    <t>Dân số hạng IV</t>
  </si>
  <si>
    <t>Phan Đình Thùy</t>
  </si>
  <si>
    <t>Trương Văn Thanh</t>
  </si>
  <si>
    <t>Phạm Thảo</t>
  </si>
  <si>
    <t>Mai Huỳnh Công Vinh</t>
  </si>
  <si>
    <t>Bác sĩ YHDP hạng III</t>
  </si>
  <si>
    <t>Đặng Thị Kim Én</t>
  </si>
  <si>
    <t xml:space="preserve">TYT Liên Chiểu </t>
  </si>
  <si>
    <t>Đinh Thị Kim Thoa</t>
  </si>
  <si>
    <t>Phạm Nguyễn Thị Thu Dung</t>
  </si>
  <si>
    <t>Lê Thị Loan Chiêu</t>
  </si>
  <si>
    <t>Đặng Thị Thu</t>
  </si>
  <si>
    <t>Trần Ý Châu</t>
  </si>
  <si>
    <t>Trương Thị Như Tuyết</t>
  </si>
  <si>
    <t>Nguyễn Thị Quyên</t>
  </si>
  <si>
    <t>Đỗ Thị Khâm Ly</t>
  </si>
  <si>
    <t>Lê Tấn Vũ</t>
  </si>
  <si>
    <t>ĐIỂM TYT Liên Chiểu 1</t>
  </si>
  <si>
    <t>Phạm Thị Hà</t>
  </si>
  <si>
    <t>Trần Văn Minh</t>
  </si>
  <si>
    <t>Phan Thị Liền</t>
  </si>
  <si>
    <t>Kỹ thuật viên Cao đẳng</t>
  </si>
  <si>
    <t>Ngô Thị Minh Hồng</t>
  </si>
  <si>
    <t>Hà Thị Ngọc Nhi</t>
  </si>
  <si>
    <t>Ngô Thị Phấn</t>
  </si>
  <si>
    <t>Phan Hoàng Cường</t>
  </si>
  <si>
    <t>Nguyễn Hoàng Thu Thuỷ</t>
  </si>
  <si>
    <t>Nguyễn Thị Thu Vân</t>
  </si>
  <si>
    <t>Huỳnh Thị Mỹ Thắm</t>
  </si>
  <si>
    <t>Tổng</t>
  </si>
  <si>
    <t>TRƯỞNG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</si>
</sst>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sz val="12"/>
      <color theme="1"/>
      <name val="&quot;Times New Roman&quot;"/>
    </font>
    <font>
      <b/>
      <sz val="10"/>
      <color theme="1"/>
      <name val="&quot;Times New Roman&quot;"/>
    </font>
    <font>
      <b/>
      <sz val="12"/>
      <color theme="1"/>
      <name val="&quot;Times New Roman&quot;"/>
    </font>
    <font>
      <sz val="10"/>
      <color theme="1"/>
      <name val="&quot;Times New Roman&quot;"/>
    </font>
    <font>
      <sz val="10"/>
      <color theme="1"/>
      <name val="Times New Roman"/>
    </font>
    <font>
      <sz val="10"/>
      <name val="Arial"/>
    </font>
    <font>
      <b/>
      <sz val="11"/>
      <color theme="1"/>
      <name val="&quot;Times New Roman&quot;"/>
    </font>
    <font>
      <b/>
      <sz val="7"/>
      <color theme="1"/>
      <name val="&quot;Times New Roman&quot;"/>
    </font>
    <font>
      <b/>
      <i/>
      <sz val="12"/>
      <color theme="1"/>
      <name val="&quot;Times New Roman&quot;"/>
    </font>
    <font>
      <b/>
      <i/>
      <sz val="10"/>
      <color theme="1"/>
      <name val="&quot;Times New Roman&quot;"/>
    </font>
    <font>
      <sz val="12"/>
      <color theme="1"/>
      <name val="Times New Roman"/>
    </font>
    <font>
      <sz val="10"/>
      <color theme="1"/>
      <name val="Arial"/>
    </font>
    <font>
      <sz val="8"/>
      <color theme="1"/>
      <name val="&quot;Times New Roman&quot;"/>
    </font>
    <font>
      <sz val="12"/>
      <color rgb="FF000000"/>
      <name val="&quot;Times New Roman&quot;"/>
    </font>
    <font>
      <sz val="10"/>
      <color rgb="FF000000"/>
      <name val="&quot;Times New Roman&quot;"/>
    </font>
    <font>
      <b/>
      <i/>
      <sz val="12"/>
      <color rgb="FF000000"/>
      <name val="&quot;Times New Roman&quot;"/>
    </font>
    <font>
      <sz val="10"/>
      <color theme="1"/>
      <name val="&quot;Times New Roman&quot;"/>
    </font>
    <font>
      <sz val="12"/>
      <color rgb="FF9C0006"/>
      <name val="&quot;Times New Roman&quot;"/>
    </font>
    <font>
      <sz val="14"/>
      <color theme="1"/>
      <name val="&quot;Times New Roman&quot;"/>
    </font>
    <font>
      <i/>
      <sz val="14"/>
      <color theme="1"/>
      <name val="&quot;Times New Roman&quot;"/>
    </font>
    <font>
      <b/>
      <sz val="14"/>
      <color theme="1"/>
      <name val="&quot;Times New Roman&quot;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3C78D8"/>
        <bgColor rgb="FF3C78D8"/>
      </patternFill>
    </fill>
    <fill>
      <patternFill patternType="solid">
        <fgColor theme="5"/>
        <bgColor theme="5"/>
      </patternFill>
    </fill>
    <fill>
      <patternFill patternType="solid">
        <fgColor rgb="FF00FF00"/>
        <bgColor rgb="FF00FF00"/>
      </patternFill>
    </fill>
    <fill>
      <patternFill patternType="solid">
        <fgColor rgb="FFFFC7CE"/>
        <bgColor rgb="FFFFC7CE"/>
      </patternFill>
    </fill>
    <fill>
      <patternFill patternType="solid">
        <fgColor rgb="FFF1C232"/>
        <bgColor rgb="FFF1C232"/>
      </patternFill>
    </fill>
    <fill>
      <patternFill patternType="solid">
        <fgColor rgb="FFA61C00"/>
        <bgColor rgb="FFA61C00"/>
      </patternFill>
    </fill>
    <fill>
      <patternFill patternType="solid">
        <fgColor rgb="FFC27BA0"/>
        <bgColor rgb="FFC27BA0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theme="6"/>
        <bgColor theme="6"/>
      </patternFill>
    </fill>
    <fill>
      <patternFill patternType="solid">
        <fgColor rgb="FFF4CCCC"/>
        <bgColor rgb="FFF4CC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5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wrapText="1"/>
    </xf>
    <xf numFmtId="1" fontId="4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center" wrapText="1"/>
    </xf>
    <xf numFmtId="0" fontId="1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wrapText="1"/>
    </xf>
    <xf numFmtId="1" fontId="4" fillId="13" borderId="1" xfId="0" applyNumberFormat="1" applyFont="1" applyFill="1" applyBorder="1" applyAlignment="1">
      <alignment horizontal="center" wrapText="1"/>
    </xf>
    <xf numFmtId="0" fontId="1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wrapText="1"/>
    </xf>
    <xf numFmtId="0" fontId="1" fillId="13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12" fillId="2" borderId="1" xfId="0" applyFont="1" applyFill="1" applyBorder="1"/>
    <xf numFmtId="0" fontId="1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0" fontId="1" fillId="14" borderId="1" xfId="0" applyFont="1" applyFill="1" applyBorder="1" applyAlignment="1">
      <alignment horizontal="left" wrapText="1"/>
    </xf>
    <xf numFmtId="0" fontId="4" fillId="14" borderId="1" xfId="0" applyFont="1" applyFill="1" applyBorder="1" applyAlignment="1">
      <alignment horizontal="center" wrapText="1"/>
    </xf>
    <xf numFmtId="0" fontId="1" fillId="14" borderId="1" xfId="0" applyFont="1" applyFill="1" applyBorder="1" applyAlignment="1">
      <alignment horizontal="center" wrapText="1"/>
    </xf>
    <xf numFmtId="0" fontId="1" fillId="14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wrapText="1"/>
    </xf>
    <xf numFmtId="0" fontId="1" fillId="13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 wrapText="1"/>
    </xf>
    <xf numFmtId="0" fontId="4" fillId="1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wrapText="1"/>
    </xf>
    <xf numFmtId="0" fontId="4" fillId="16" borderId="1" xfId="0" applyFont="1" applyFill="1" applyBorder="1" applyAlignment="1">
      <alignment horizontal="center" wrapText="1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4" fillId="0" borderId="6" xfId="0" applyFont="1" applyBorder="1" applyAlignment="1">
      <alignment horizontal="left"/>
    </xf>
    <xf numFmtId="0" fontId="15" fillId="0" borderId="6" xfId="0" applyFont="1" applyBorder="1" applyAlignment="1">
      <alignment horizontal="center"/>
    </xf>
    <xf numFmtId="0" fontId="14" fillId="0" borderId="6" xfId="0" applyFont="1" applyBorder="1"/>
    <xf numFmtId="0" fontId="14" fillId="0" borderId="7" xfId="0" applyFont="1" applyBorder="1" applyAlignment="1">
      <alignment horizontal="left"/>
    </xf>
    <xf numFmtId="0" fontId="15" fillId="0" borderId="0" xfId="0" applyFont="1" applyAlignment="1">
      <alignment horizontal="center"/>
    </xf>
    <xf numFmtId="0" fontId="16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7" fillId="0" borderId="6" xfId="0" applyFont="1" applyBorder="1" applyAlignment="1">
      <alignment horizontal="center"/>
    </xf>
    <xf numFmtId="0" fontId="4" fillId="17" borderId="1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14" fillId="2" borderId="6" xfId="0" applyFont="1" applyFill="1" applyBorder="1"/>
    <xf numFmtId="0" fontId="14" fillId="2" borderId="6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5" fillId="0" borderId="0" xfId="0" applyFont="1" applyAlignment="1">
      <alignment horizontal="left" wrapText="1"/>
    </xf>
    <xf numFmtId="0" fontId="18" fillId="9" borderId="1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wrapText="1"/>
    </xf>
    <xf numFmtId="0" fontId="19" fillId="2" borderId="0" xfId="0" applyFont="1" applyFill="1" applyAlignment="1">
      <alignment wrapText="1"/>
    </xf>
    <xf numFmtId="0" fontId="19" fillId="2" borderId="0" xfId="0" applyFont="1" applyFill="1" applyAlignment="1">
      <alignment horizontal="center" wrapText="1"/>
    </xf>
    <xf numFmtId="0" fontId="20" fillId="2" borderId="8" xfId="0" applyFont="1" applyFill="1" applyBorder="1" applyAlignment="1">
      <alignment horizontal="center" wrapText="1"/>
    </xf>
    <xf numFmtId="0" fontId="20" fillId="2" borderId="8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wrapText="1"/>
    </xf>
    <xf numFmtId="0" fontId="0" fillId="0" borderId="0" xfId="0"/>
    <xf numFmtId="0" fontId="1" fillId="2" borderId="0" xfId="0" applyFont="1" applyFill="1" applyAlignment="1">
      <alignment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26"/>
  <sheetViews>
    <sheetView tabSelected="1" workbookViewId="0">
      <selection activeCell="E13" sqref="E13"/>
    </sheetView>
  </sheetViews>
  <sheetFormatPr defaultColWidth="12.5703125" defaultRowHeight="15.75" customHeight="1"/>
  <cols>
    <col min="1" max="1" width="6.42578125" customWidth="1"/>
    <col min="2" max="2" width="7.140625" customWidth="1"/>
    <col min="3" max="3" width="29.7109375" customWidth="1"/>
    <col min="4" max="4" width="7.7109375" customWidth="1"/>
    <col min="5" max="5" width="4.42578125" customWidth="1"/>
    <col min="6" max="7" width="6.42578125" customWidth="1"/>
    <col min="8" max="8" width="12.140625" customWidth="1"/>
    <col min="9" max="9" width="8.7109375" customWidth="1"/>
    <col min="10" max="13" width="8.42578125" customWidth="1"/>
    <col min="14" max="14" width="16.28515625" customWidth="1"/>
    <col min="15" max="15" width="18.5703125" customWidth="1"/>
  </cols>
  <sheetData>
    <row r="1" spans="1:27">
      <c r="A1" s="105"/>
      <c r="B1" s="104"/>
      <c r="C1" s="104"/>
      <c r="D1" s="104"/>
      <c r="E1" s="104"/>
      <c r="F1" s="104"/>
      <c r="G1" s="104"/>
      <c r="H1" s="2"/>
      <c r="I1" s="2"/>
      <c r="J1" s="3"/>
      <c r="K1" s="3"/>
      <c r="L1" s="3"/>
      <c r="M1" s="3"/>
      <c r="N1" s="2"/>
      <c r="O1" s="4"/>
      <c r="P1" s="5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30" customHeight="1">
      <c r="A2" s="106" t="s">
        <v>0</v>
      </c>
      <c r="B2" s="104"/>
      <c r="C2" s="104"/>
      <c r="D2" s="104"/>
      <c r="E2" s="104"/>
      <c r="F2" s="104"/>
      <c r="G2" s="104"/>
      <c r="H2" s="2"/>
      <c r="I2" s="2"/>
      <c r="J2" s="3"/>
      <c r="K2" s="3"/>
      <c r="L2" s="3"/>
      <c r="M2" s="3"/>
      <c r="N2" s="2"/>
      <c r="O2" s="7"/>
      <c r="P2" s="5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46.5" customHeight="1">
      <c r="A3" s="107" t="s">
        <v>1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2.75">
      <c r="A4" s="98" t="s">
        <v>2</v>
      </c>
      <c r="B4" s="98" t="s">
        <v>3</v>
      </c>
      <c r="C4" s="98" t="s">
        <v>4</v>
      </c>
      <c r="D4" s="96" t="s">
        <v>5</v>
      </c>
      <c r="E4" s="97"/>
      <c r="F4" s="96" t="s">
        <v>6</v>
      </c>
      <c r="G4" s="97"/>
      <c r="H4" s="98" t="s">
        <v>7</v>
      </c>
      <c r="I4" s="98" t="s">
        <v>8</v>
      </c>
      <c r="J4" s="100" t="s">
        <v>9</v>
      </c>
      <c r="K4" s="101"/>
      <c r="L4" s="101"/>
      <c r="M4" s="97"/>
      <c r="N4" s="102" t="s">
        <v>10</v>
      </c>
      <c r="O4" s="102" t="s">
        <v>11</v>
      </c>
      <c r="P4" s="102" t="s">
        <v>12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36">
      <c r="A5" s="99"/>
      <c r="B5" s="99"/>
      <c r="C5" s="99"/>
      <c r="D5" s="7" t="s">
        <v>13</v>
      </c>
      <c r="E5" s="7" t="s">
        <v>14</v>
      </c>
      <c r="F5" s="7" t="s">
        <v>13</v>
      </c>
      <c r="G5" s="7" t="s">
        <v>14</v>
      </c>
      <c r="H5" s="99"/>
      <c r="I5" s="99"/>
      <c r="J5" s="8" t="s">
        <v>15</v>
      </c>
      <c r="K5" s="9" t="s">
        <v>16</v>
      </c>
      <c r="L5" s="7" t="s">
        <v>17</v>
      </c>
      <c r="M5" s="10" t="s">
        <v>18</v>
      </c>
      <c r="N5" s="99"/>
      <c r="O5" s="99"/>
      <c r="P5" s="99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>
      <c r="A6" s="11"/>
      <c r="B6" s="11"/>
      <c r="C6" s="11"/>
      <c r="D6" s="12"/>
      <c r="E6" s="12"/>
      <c r="F6" s="12"/>
      <c r="G6" s="12"/>
      <c r="H6" s="11"/>
      <c r="I6" s="11"/>
      <c r="J6" s="11"/>
      <c r="K6" s="11"/>
      <c r="L6" s="12"/>
      <c r="M6" s="13"/>
      <c r="N6" s="12" t="s">
        <v>19</v>
      </c>
      <c r="O6" s="7" t="s">
        <v>20</v>
      </c>
      <c r="P6" s="12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>
      <c r="A7" s="14"/>
      <c r="B7" s="15"/>
      <c r="C7" s="16" t="s">
        <v>21</v>
      </c>
      <c r="D7" s="17"/>
      <c r="E7" s="17"/>
      <c r="F7" s="17"/>
      <c r="G7" s="17"/>
      <c r="H7" s="17"/>
      <c r="I7" s="17"/>
      <c r="J7" s="18"/>
      <c r="K7" s="19"/>
      <c r="L7" s="19"/>
      <c r="M7" s="19"/>
      <c r="N7" s="20"/>
      <c r="O7" s="21"/>
      <c r="P7" s="20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38.25">
      <c r="A8" s="14">
        <f t="shared" ref="A8:A70" si="0">IF(ISBLANK(B8),"",COUNTA($B$8:B8))</f>
        <v>1</v>
      </c>
      <c r="B8" s="14">
        <v>1</v>
      </c>
      <c r="C8" s="22" t="s">
        <v>22</v>
      </c>
      <c r="D8" s="20">
        <v>1968</v>
      </c>
      <c r="E8" s="20"/>
      <c r="F8" s="23">
        <f t="shared" ref="F8:G8" si="1">IF(ISBLANK(D8),"",2025-D8)</f>
        <v>57</v>
      </c>
      <c r="G8" s="20" t="str">
        <f t="shared" si="1"/>
        <v/>
      </c>
      <c r="H8" s="20" t="s">
        <v>23</v>
      </c>
      <c r="I8" s="20" t="s">
        <v>24</v>
      </c>
      <c r="J8" s="14">
        <v>1</v>
      </c>
      <c r="K8" s="24"/>
      <c r="L8" s="24"/>
      <c r="M8" s="24"/>
      <c r="N8" s="25" t="s">
        <v>25</v>
      </c>
      <c r="O8" s="26" t="s">
        <v>26</v>
      </c>
      <c r="P8" s="20"/>
      <c r="Q8" s="6"/>
      <c r="S8" s="6"/>
      <c r="U8" s="6"/>
      <c r="V8" s="6"/>
      <c r="W8" s="6"/>
      <c r="X8" s="6"/>
      <c r="Y8" s="6"/>
      <c r="Z8" s="6"/>
      <c r="AA8" s="6"/>
    </row>
    <row r="9" spans="1:27" ht="38.25">
      <c r="A9" s="14">
        <f t="shared" si="0"/>
        <v>2</v>
      </c>
      <c r="B9" s="14">
        <v>2</v>
      </c>
      <c r="C9" s="22" t="s">
        <v>27</v>
      </c>
      <c r="D9" s="20">
        <v>1964</v>
      </c>
      <c r="E9" s="20"/>
      <c r="F9" s="23">
        <f t="shared" ref="F9:G9" si="2">IF(ISBLANK(D9),"",2025-D9)</f>
        <v>61</v>
      </c>
      <c r="G9" s="20" t="str">
        <f t="shared" si="2"/>
        <v/>
      </c>
      <c r="H9" s="20" t="s">
        <v>28</v>
      </c>
      <c r="I9" s="20" t="s">
        <v>24</v>
      </c>
      <c r="J9" s="14">
        <v>1</v>
      </c>
      <c r="K9" s="24"/>
      <c r="L9" s="24"/>
      <c r="M9" s="24"/>
      <c r="N9" s="25" t="s">
        <v>29</v>
      </c>
      <c r="O9" s="26" t="s">
        <v>26</v>
      </c>
      <c r="P9" s="20"/>
      <c r="Q9" s="6"/>
      <c r="S9" s="6"/>
      <c r="U9" s="6"/>
      <c r="V9" s="6"/>
      <c r="W9" s="6"/>
      <c r="X9" s="6"/>
      <c r="Y9" s="6"/>
      <c r="Z9" s="6"/>
      <c r="AA9" s="6"/>
    </row>
    <row r="10" spans="1:27" ht="38.25">
      <c r="A10" s="14">
        <f t="shared" si="0"/>
        <v>3</v>
      </c>
      <c r="B10" s="14">
        <v>3</v>
      </c>
      <c r="C10" s="22" t="s">
        <v>30</v>
      </c>
      <c r="D10" s="20">
        <v>1965</v>
      </c>
      <c r="E10" s="20"/>
      <c r="F10" s="23">
        <f t="shared" ref="F10:G10" si="3">IF(ISBLANK(D10),"",2025-D10)</f>
        <v>60</v>
      </c>
      <c r="G10" s="20" t="str">
        <f t="shared" si="3"/>
        <v/>
      </c>
      <c r="H10" s="20" t="s">
        <v>28</v>
      </c>
      <c r="I10" s="20" t="s">
        <v>24</v>
      </c>
      <c r="J10" s="14">
        <v>1</v>
      </c>
      <c r="K10" s="24"/>
      <c r="L10" s="24"/>
      <c r="M10" s="24"/>
      <c r="N10" s="25" t="s">
        <v>31</v>
      </c>
      <c r="O10" s="26" t="s">
        <v>26</v>
      </c>
      <c r="P10" s="20"/>
      <c r="Q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30">
      <c r="A11" s="14" t="str">
        <f t="shared" si="0"/>
        <v/>
      </c>
      <c r="B11" s="14"/>
      <c r="C11" s="27" t="s">
        <v>32</v>
      </c>
      <c r="D11" s="18"/>
      <c r="E11" s="18"/>
      <c r="F11" s="23" t="str">
        <f t="shared" ref="F11:G11" si="4">IF(ISBLANK(D11),"",2025-D11)</f>
        <v/>
      </c>
      <c r="G11" s="20" t="str">
        <f t="shared" si="4"/>
        <v/>
      </c>
      <c r="H11" s="27"/>
      <c r="I11" s="27"/>
      <c r="J11" s="27"/>
      <c r="K11" s="27"/>
      <c r="L11" s="27"/>
      <c r="M11" s="27"/>
      <c r="N11" s="27"/>
      <c r="O11" s="28"/>
      <c r="P11" s="17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25.5">
      <c r="A12" s="14">
        <f t="shared" si="0"/>
        <v>4</v>
      </c>
      <c r="B12" s="14">
        <v>1</v>
      </c>
      <c r="C12" s="22" t="s">
        <v>33</v>
      </c>
      <c r="D12" s="20">
        <v>1967</v>
      </c>
      <c r="E12" s="20"/>
      <c r="F12" s="23">
        <f t="shared" ref="F12:G12" si="5">IF(ISBLANK(D12),"",2025-D12)</f>
        <v>58</v>
      </c>
      <c r="G12" s="20" t="str">
        <f t="shared" si="5"/>
        <v/>
      </c>
      <c r="H12" s="20" t="s">
        <v>34</v>
      </c>
      <c r="I12" s="20" t="s">
        <v>24</v>
      </c>
      <c r="J12" s="14">
        <v>1</v>
      </c>
      <c r="K12" s="24"/>
      <c r="L12" s="24" t="s">
        <v>35</v>
      </c>
      <c r="M12" s="24"/>
      <c r="N12" s="20" t="s">
        <v>36</v>
      </c>
      <c r="O12" s="29" t="s">
        <v>37</v>
      </c>
      <c r="P12" s="20"/>
      <c r="Q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36" customHeight="1">
      <c r="A13" s="14">
        <f t="shared" si="0"/>
        <v>5</v>
      </c>
      <c r="B13" s="14">
        <v>2</v>
      </c>
      <c r="C13" s="22" t="s">
        <v>38</v>
      </c>
      <c r="D13" s="20"/>
      <c r="E13" s="20">
        <v>1986</v>
      </c>
      <c r="F13" s="23" t="str">
        <f t="shared" ref="F13:G13" si="6">IF(ISBLANK(D13),"",2025-D13)</f>
        <v/>
      </c>
      <c r="G13" s="20">
        <f t="shared" si="6"/>
        <v>39</v>
      </c>
      <c r="H13" s="20" t="s">
        <v>39</v>
      </c>
      <c r="I13" s="20" t="s">
        <v>24</v>
      </c>
      <c r="J13" s="14">
        <v>1</v>
      </c>
      <c r="K13" s="24"/>
      <c r="L13" s="24"/>
      <c r="M13" s="24"/>
      <c r="N13" s="30" t="s">
        <v>40</v>
      </c>
      <c r="O13" s="29" t="s">
        <v>37</v>
      </c>
      <c r="P13" s="20"/>
      <c r="Q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5">
      <c r="A14" s="14">
        <f t="shared" si="0"/>
        <v>6</v>
      </c>
      <c r="B14" s="14">
        <v>3</v>
      </c>
      <c r="C14" s="22" t="s">
        <v>41</v>
      </c>
      <c r="D14" s="20"/>
      <c r="E14" s="20">
        <v>1980</v>
      </c>
      <c r="F14" s="23" t="str">
        <f t="shared" ref="F14:G14" si="7">IF(ISBLANK(D14),"",2025-D14)</f>
        <v/>
      </c>
      <c r="G14" s="20">
        <f t="shared" si="7"/>
        <v>45</v>
      </c>
      <c r="H14" s="20"/>
      <c r="I14" s="20"/>
      <c r="J14" s="14">
        <v>1</v>
      </c>
      <c r="K14" s="24"/>
      <c r="L14" s="24"/>
      <c r="M14" s="24"/>
      <c r="N14" s="20" t="s">
        <v>42</v>
      </c>
      <c r="O14" s="31" t="s">
        <v>43</v>
      </c>
      <c r="P14" s="20"/>
      <c r="Q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25.5">
      <c r="A15" s="14">
        <f t="shared" si="0"/>
        <v>7</v>
      </c>
      <c r="B15" s="14">
        <v>4</v>
      </c>
      <c r="C15" s="22" t="s">
        <v>44</v>
      </c>
      <c r="D15" s="20">
        <v>1999</v>
      </c>
      <c r="E15" s="20"/>
      <c r="F15" s="23">
        <f t="shared" ref="F15:G15" si="8">IF(ISBLANK(D15),"",2025-D15)</f>
        <v>26</v>
      </c>
      <c r="G15" s="20" t="str">
        <f t="shared" si="8"/>
        <v/>
      </c>
      <c r="H15" s="20"/>
      <c r="I15" s="20"/>
      <c r="J15" s="14">
        <v>1</v>
      </c>
      <c r="K15" s="24"/>
      <c r="L15" s="24"/>
      <c r="M15" s="24"/>
      <c r="N15" s="20" t="s">
        <v>45</v>
      </c>
      <c r="O15" s="29" t="s">
        <v>37</v>
      </c>
      <c r="P15" s="20"/>
      <c r="Q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5">
      <c r="A16" s="14">
        <f t="shared" si="0"/>
        <v>8</v>
      </c>
      <c r="B16" s="14">
        <v>5</v>
      </c>
      <c r="C16" s="22" t="s">
        <v>46</v>
      </c>
      <c r="D16" s="20"/>
      <c r="E16" s="20">
        <v>1995</v>
      </c>
      <c r="F16" s="23" t="str">
        <f t="shared" ref="F16:G16" si="9">IF(ISBLANK(D16),"",2025-D16)</f>
        <v/>
      </c>
      <c r="G16" s="20">
        <f t="shared" si="9"/>
        <v>30</v>
      </c>
      <c r="H16" s="20"/>
      <c r="I16" s="20"/>
      <c r="J16" s="14">
        <v>1</v>
      </c>
      <c r="K16" s="24"/>
      <c r="L16" s="24"/>
      <c r="M16" s="24"/>
      <c r="N16" s="20" t="s">
        <v>47</v>
      </c>
      <c r="O16" s="29" t="s">
        <v>37</v>
      </c>
      <c r="P16" s="20"/>
      <c r="Q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5">
      <c r="A17" s="14">
        <f t="shared" si="0"/>
        <v>9</v>
      </c>
      <c r="B17" s="14">
        <v>6</v>
      </c>
      <c r="C17" s="22" t="s">
        <v>48</v>
      </c>
      <c r="D17" s="20">
        <v>1984</v>
      </c>
      <c r="E17" s="20"/>
      <c r="F17" s="23">
        <f t="shared" ref="F17:F70" si="10">IF(ISBLANK(D17),"",2025-D17)</f>
        <v>41</v>
      </c>
      <c r="G17" s="20"/>
      <c r="H17" s="20"/>
      <c r="I17" s="20"/>
      <c r="J17" s="14">
        <v>1</v>
      </c>
      <c r="K17" s="24"/>
      <c r="L17" s="24"/>
      <c r="M17" s="24"/>
      <c r="N17" s="20" t="s">
        <v>49</v>
      </c>
      <c r="O17" s="29" t="s">
        <v>37</v>
      </c>
      <c r="P17" s="20"/>
      <c r="Q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25.5">
      <c r="A18" s="14">
        <f t="shared" si="0"/>
        <v>10</v>
      </c>
      <c r="B18" s="14">
        <v>7</v>
      </c>
      <c r="C18" s="22" t="s">
        <v>50</v>
      </c>
      <c r="D18" s="20">
        <v>1995</v>
      </c>
      <c r="E18" s="20"/>
      <c r="F18" s="23">
        <f t="shared" si="10"/>
        <v>30</v>
      </c>
      <c r="G18" s="20" t="str">
        <f t="shared" ref="G18:G71" si="11">IF(ISBLANK(E18),"",2025-E18)</f>
        <v/>
      </c>
      <c r="H18" s="20"/>
      <c r="I18" s="20"/>
      <c r="J18" s="14">
        <v>1</v>
      </c>
      <c r="K18" s="24"/>
      <c r="L18" s="24"/>
      <c r="M18" s="24"/>
      <c r="N18" s="20" t="s">
        <v>51</v>
      </c>
      <c r="O18" s="32" t="s">
        <v>52</v>
      </c>
      <c r="P18" s="20"/>
      <c r="Q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5">
      <c r="A19" s="14">
        <f t="shared" si="0"/>
        <v>11</v>
      </c>
      <c r="B19" s="14">
        <v>8</v>
      </c>
      <c r="C19" s="22" t="s">
        <v>53</v>
      </c>
      <c r="D19" s="20">
        <v>1972</v>
      </c>
      <c r="E19" s="20"/>
      <c r="F19" s="23">
        <f t="shared" si="10"/>
        <v>53</v>
      </c>
      <c r="G19" s="20" t="str">
        <f t="shared" si="11"/>
        <v/>
      </c>
      <c r="H19" s="20"/>
      <c r="I19" s="20"/>
      <c r="J19" s="14"/>
      <c r="K19" s="24">
        <v>1</v>
      </c>
      <c r="L19" s="24"/>
      <c r="M19" s="24"/>
      <c r="N19" s="20" t="s">
        <v>54</v>
      </c>
      <c r="O19" s="33" t="s">
        <v>54</v>
      </c>
      <c r="P19" s="20"/>
      <c r="Q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5">
      <c r="A20" s="14">
        <f t="shared" si="0"/>
        <v>12</v>
      </c>
      <c r="B20" s="14">
        <v>9</v>
      </c>
      <c r="C20" s="22" t="s">
        <v>55</v>
      </c>
      <c r="D20" s="20">
        <v>1967</v>
      </c>
      <c r="E20" s="20"/>
      <c r="F20" s="23">
        <f t="shared" si="10"/>
        <v>58</v>
      </c>
      <c r="G20" s="20" t="str">
        <f t="shared" si="11"/>
        <v/>
      </c>
      <c r="H20" s="20"/>
      <c r="I20" s="20"/>
      <c r="J20" s="14"/>
      <c r="K20" s="24">
        <v>1</v>
      </c>
      <c r="L20" s="24"/>
      <c r="M20" s="24"/>
      <c r="N20" s="20" t="s">
        <v>54</v>
      </c>
      <c r="O20" s="33" t="s">
        <v>54</v>
      </c>
      <c r="P20" s="20"/>
      <c r="Q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5">
      <c r="A21" s="14">
        <f t="shared" si="0"/>
        <v>13</v>
      </c>
      <c r="B21" s="14">
        <v>10</v>
      </c>
      <c r="C21" s="22" t="s">
        <v>56</v>
      </c>
      <c r="D21" s="20">
        <v>1993</v>
      </c>
      <c r="E21" s="20"/>
      <c r="F21" s="23">
        <f t="shared" si="10"/>
        <v>32</v>
      </c>
      <c r="G21" s="20" t="str">
        <f t="shared" si="11"/>
        <v/>
      </c>
      <c r="H21" s="20"/>
      <c r="I21" s="20"/>
      <c r="J21" s="14"/>
      <c r="K21" s="14">
        <v>1</v>
      </c>
      <c r="L21" s="14"/>
      <c r="M21" s="14"/>
      <c r="N21" s="20" t="s">
        <v>54</v>
      </c>
      <c r="O21" s="33" t="s">
        <v>54</v>
      </c>
      <c r="P21" s="20"/>
      <c r="Q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5">
      <c r="A22" s="14">
        <f t="shared" si="0"/>
        <v>14</v>
      </c>
      <c r="B22" s="14">
        <v>11</v>
      </c>
      <c r="C22" s="22" t="s">
        <v>57</v>
      </c>
      <c r="D22" s="20"/>
      <c r="E22" s="20">
        <v>1989</v>
      </c>
      <c r="F22" s="23" t="str">
        <f t="shared" si="10"/>
        <v/>
      </c>
      <c r="G22" s="20">
        <f t="shared" si="11"/>
        <v>36</v>
      </c>
      <c r="H22" s="20"/>
      <c r="I22" s="20"/>
      <c r="J22" s="14">
        <v>1</v>
      </c>
      <c r="K22" s="24"/>
      <c r="L22" s="24"/>
      <c r="M22" s="24"/>
      <c r="N22" s="20" t="s">
        <v>58</v>
      </c>
      <c r="O22" s="34" t="s">
        <v>59</v>
      </c>
      <c r="P22" s="20"/>
      <c r="Q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5">
      <c r="A23" s="14">
        <f t="shared" si="0"/>
        <v>15</v>
      </c>
      <c r="B23" s="14">
        <v>12</v>
      </c>
      <c r="C23" s="22" t="s">
        <v>60</v>
      </c>
      <c r="D23" s="20">
        <v>1966</v>
      </c>
      <c r="E23" s="20"/>
      <c r="F23" s="23">
        <f t="shared" si="10"/>
        <v>59</v>
      </c>
      <c r="G23" s="20" t="str">
        <f t="shared" si="11"/>
        <v/>
      </c>
      <c r="H23" s="20"/>
      <c r="I23" s="20"/>
      <c r="J23" s="14"/>
      <c r="K23" s="24">
        <v>1</v>
      </c>
      <c r="L23" s="24"/>
      <c r="M23" s="24"/>
      <c r="N23" s="20" t="s">
        <v>61</v>
      </c>
      <c r="O23" s="33" t="s">
        <v>61</v>
      </c>
      <c r="P23" s="20"/>
      <c r="Q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5">
      <c r="A24" s="14" t="str">
        <f t="shared" si="0"/>
        <v/>
      </c>
      <c r="B24" s="14"/>
      <c r="C24" s="27" t="s">
        <v>62</v>
      </c>
      <c r="D24" s="18"/>
      <c r="E24" s="18"/>
      <c r="F24" s="23" t="str">
        <f t="shared" si="10"/>
        <v/>
      </c>
      <c r="G24" s="20" t="str">
        <f t="shared" si="11"/>
        <v/>
      </c>
      <c r="H24" s="27"/>
      <c r="I24" s="27"/>
      <c r="J24" s="27"/>
      <c r="K24" s="27"/>
      <c r="L24" s="27"/>
      <c r="M24" s="27"/>
      <c r="N24" s="27"/>
      <c r="O24" s="35"/>
      <c r="P24" s="20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21.75" customHeight="1">
      <c r="A25" s="14">
        <f t="shared" si="0"/>
        <v>16</v>
      </c>
      <c r="B25" s="14">
        <v>1</v>
      </c>
      <c r="C25" s="22" t="s">
        <v>63</v>
      </c>
      <c r="D25" s="20">
        <v>1988</v>
      </c>
      <c r="E25" s="20"/>
      <c r="F25" s="23">
        <f t="shared" si="10"/>
        <v>37</v>
      </c>
      <c r="G25" s="20" t="str">
        <f t="shared" si="11"/>
        <v/>
      </c>
      <c r="H25" s="20" t="s">
        <v>34</v>
      </c>
      <c r="I25" s="20"/>
      <c r="J25" s="14">
        <v>1</v>
      </c>
      <c r="K25" s="24"/>
      <c r="L25" s="24"/>
      <c r="M25" s="24"/>
      <c r="N25" s="36" t="s">
        <v>58</v>
      </c>
      <c r="O25" s="34" t="s">
        <v>64</v>
      </c>
      <c r="P25" s="20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5">
      <c r="A26" s="14">
        <f t="shared" si="0"/>
        <v>17</v>
      </c>
      <c r="B26" s="14">
        <v>2</v>
      </c>
      <c r="C26" s="22" t="s">
        <v>65</v>
      </c>
      <c r="D26" s="20"/>
      <c r="E26" s="20">
        <v>1973</v>
      </c>
      <c r="F26" s="23" t="str">
        <f t="shared" si="10"/>
        <v/>
      </c>
      <c r="G26" s="20">
        <f t="shared" si="11"/>
        <v>52</v>
      </c>
      <c r="H26" s="20"/>
      <c r="I26" s="20"/>
      <c r="J26" s="14">
        <v>1</v>
      </c>
      <c r="K26" s="24"/>
      <c r="L26" s="24"/>
      <c r="M26" s="24"/>
      <c r="N26" s="37" t="s">
        <v>66</v>
      </c>
      <c r="O26" s="38" t="s">
        <v>67</v>
      </c>
      <c r="P26" s="20"/>
      <c r="Q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5">
      <c r="A27" s="14">
        <f t="shared" si="0"/>
        <v>18</v>
      </c>
      <c r="B27" s="14">
        <v>3</v>
      </c>
      <c r="C27" s="22" t="s">
        <v>68</v>
      </c>
      <c r="D27" s="20"/>
      <c r="E27" s="20">
        <v>1990</v>
      </c>
      <c r="F27" s="23" t="str">
        <f t="shared" si="10"/>
        <v/>
      </c>
      <c r="G27" s="20">
        <f t="shared" si="11"/>
        <v>35</v>
      </c>
      <c r="H27" s="20"/>
      <c r="I27" s="20"/>
      <c r="J27" s="14">
        <v>1</v>
      </c>
      <c r="K27" s="24"/>
      <c r="L27" s="24"/>
      <c r="M27" s="24"/>
      <c r="N27" s="36" t="s">
        <v>58</v>
      </c>
      <c r="O27" s="34" t="s">
        <v>64</v>
      </c>
      <c r="P27" s="20"/>
      <c r="Q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5">
      <c r="A28" s="14">
        <f t="shared" si="0"/>
        <v>19</v>
      </c>
      <c r="B28" s="14">
        <v>4</v>
      </c>
      <c r="C28" s="22" t="s">
        <v>69</v>
      </c>
      <c r="D28" s="20"/>
      <c r="E28" s="20">
        <v>1988</v>
      </c>
      <c r="F28" s="23" t="str">
        <f t="shared" si="10"/>
        <v/>
      </c>
      <c r="G28" s="20">
        <f t="shared" si="11"/>
        <v>37</v>
      </c>
      <c r="H28" s="20"/>
      <c r="I28" s="20"/>
      <c r="J28" s="14">
        <v>1</v>
      </c>
      <c r="K28" s="24"/>
      <c r="L28" s="24"/>
      <c r="M28" s="24"/>
      <c r="N28" s="36" t="s">
        <v>58</v>
      </c>
      <c r="O28" s="34" t="s">
        <v>64</v>
      </c>
      <c r="P28" s="20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5">
      <c r="A29" s="14">
        <f t="shared" si="0"/>
        <v>20</v>
      </c>
      <c r="B29" s="14">
        <v>5</v>
      </c>
      <c r="C29" s="22" t="s">
        <v>70</v>
      </c>
      <c r="D29" s="20"/>
      <c r="E29" s="20">
        <v>2001</v>
      </c>
      <c r="F29" s="23" t="str">
        <f t="shared" si="10"/>
        <v/>
      </c>
      <c r="G29" s="20">
        <f t="shared" si="11"/>
        <v>24</v>
      </c>
      <c r="H29" s="20"/>
      <c r="I29" s="20"/>
      <c r="J29" s="14">
        <v>1</v>
      </c>
      <c r="K29" s="24"/>
      <c r="L29" s="24"/>
      <c r="M29" s="24"/>
      <c r="N29" s="36" t="s">
        <v>58</v>
      </c>
      <c r="O29" s="34" t="s">
        <v>64</v>
      </c>
      <c r="P29" s="20"/>
      <c r="Q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25.5">
      <c r="A30" s="14">
        <f t="shared" si="0"/>
        <v>21</v>
      </c>
      <c r="B30" s="14">
        <v>6</v>
      </c>
      <c r="C30" s="22" t="s">
        <v>71</v>
      </c>
      <c r="D30" s="20"/>
      <c r="E30" s="20">
        <v>1990</v>
      </c>
      <c r="F30" s="23" t="str">
        <f t="shared" si="10"/>
        <v/>
      </c>
      <c r="G30" s="20">
        <f t="shared" si="11"/>
        <v>35</v>
      </c>
      <c r="H30" s="20"/>
      <c r="I30" s="20"/>
      <c r="J30" s="14">
        <v>1</v>
      </c>
      <c r="K30" s="24"/>
      <c r="L30" s="24"/>
      <c r="M30" s="24"/>
      <c r="N30" s="20" t="s">
        <v>72</v>
      </c>
      <c r="O30" s="34" t="s">
        <v>59</v>
      </c>
      <c r="P30" s="20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25.5">
      <c r="A31" s="14">
        <f t="shared" si="0"/>
        <v>22</v>
      </c>
      <c r="B31" s="14">
        <v>7</v>
      </c>
      <c r="C31" s="22" t="s">
        <v>73</v>
      </c>
      <c r="D31" s="20"/>
      <c r="E31" s="20">
        <v>1990</v>
      </c>
      <c r="F31" s="23" t="str">
        <f t="shared" si="10"/>
        <v/>
      </c>
      <c r="G31" s="20">
        <f t="shared" si="11"/>
        <v>35</v>
      </c>
      <c r="H31" s="20"/>
      <c r="I31" s="20"/>
      <c r="J31" s="14">
        <v>1</v>
      </c>
      <c r="K31" s="24"/>
      <c r="M31" s="24"/>
      <c r="N31" s="20" t="s">
        <v>72</v>
      </c>
      <c r="O31" s="34" t="s">
        <v>59</v>
      </c>
      <c r="P31" s="20"/>
      <c r="Q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25.5">
      <c r="A32" s="14">
        <f t="shared" si="0"/>
        <v>23</v>
      </c>
      <c r="B32" s="14">
        <v>8</v>
      </c>
      <c r="C32" s="22" t="s">
        <v>74</v>
      </c>
      <c r="D32" s="20"/>
      <c r="E32" s="20">
        <v>1997</v>
      </c>
      <c r="F32" s="23" t="str">
        <f t="shared" si="10"/>
        <v/>
      </c>
      <c r="G32" s="20">
        <f t="shared" si="11"/>
        <v>28</v>
      </c>
      <c r="H32" s="20"/>
      <c r="I32" s="20"/>
      <c r="J32" s="14">
        <v>1</v>
      </c>
      <c r="K32" s="24"/>
      <c r="L32" s="24"/>
      <c r="M32" s="24"/>
      <c r="N32" s="20" t="s">
        <v>72</v>
      </c>
      <c r="O32" s="34" t="s">
        <v>59</v>
      </c>
      <c r="P32" s="20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5">
      <c r="A33" s="14">
        <f t="shared" si="0"/>
        <v>24</v>
      </c>
      <c r="B33" s="14">
        <v>9</v>
      </c>
      <c r="C33" s="22" t="s">
        <v>75</v>
      </c>
      <c r="D33" s="20"/>
      <c r="E33" s="20">
        <v>1972</v>
      </c>
      <c r="F33" s="23" t="str">
        <f t="shared" si="10"/>
        <v/>
      </c>
      <c r="G33" s="20">
        <f t="shared" si="11"/>
        <v>53</v>
      </c>
      <c r="H33" s="20"/>
      <c r="I33" s="20"/>
      <c r="J33" s="14">
        <v>1</v>
      </c>
      <c r="K33" s="24"/>
      <c r="L33" s="24"/>
      <c r="M33" s="24"/>
      <c r="N33" s="39" t="s">
        <v>42</v>
      </c>
      <c r="O33" s="31" t="s">
        <v>43</v>
      </c>
      <c r="P33" s="20"/>
      <c r="Q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30">
      <c r="A34" s="14" t="str">
        <f t="shared" si="0"/>
        <v/>
      </c>
      <c r="B34" s="14"/>
      <c r="C34" s="27" t="s">
        <v>76</v>
      </c>
      <c r="D34" s="18"/>
      <c r="E34" s="18"/>
      <c r="F34" s="23" t="str">
        <f t="shared" si="10"/>
        <v/>
      </c>
      <c r="G34" s="20" t="str">
        <f t="shared" si="11"/>
        <v/>
      </c>
      <c r="H34" s="27"/>
      <c r="I34" s="27"/>
      <c r="J34" s="27"/>
      <c r="K34" s="27"/>
      <c r="L34" s="27"/>
      <c r="M34" s="27"/>
      <c r="N34" s="27"/>
      <c r="O34" s="35"/>
      <c r="P34" s="20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38.25">
      <c r="A35" s="14">
        <f t="shared" si="0"/>
        <v>25</v>
      </c>
      <c r="B35" s="14">
        <v>1</v>
      </c>
      <c r="C35" s="22" t="s">
        <v>77</v>
      </c>
      <c r="D35" s="20">
        <v>1971</v>
      </c>
      <c r="E35" s="20"/>
      <c r="F35" s="23">
        <f t="shared" si="10"/>
        <v>54</v>
      </c>
      <c r="G35" s="20" t="str">
        <f t="shared" si="11"/>
        <v/>
      </c>
      <c r="H35" s="20" t="s">
        <v>39</v>
      </c>
      <c r="I35" s="20"/>
      <c r="J35" s="14">
        <v>1</v>
      </c>
      <c r="K35" s="24"/>
      <c r="L35" s="24"/>
      <c r="M35" s="24"/>
      <c r="N35" s="25" t="s">
        <v>78</v>
      </c>
      <c r="O35" s="26" t="s">
        <v>79</v>
      </c>
      <c r="P35" s="20"/>
      <c r="Q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25.5">
      <c r="A36" s="14">
        <f t="shared" si="0"/>
        <v>26</v>
      </c>
      <c r="B36" s="14">
        <v>2</v>
      </c>
      <c r="C36" s="22" t="s">
        <v>80</v>
      </c>
      <c r="D36" s="20"/>
      <c r="E36" s="20">
        <v>1994</v>
      </c>
      <c r="F36" s="23" t="str">
        <f t="shared" si="10"/>
        <v/>
      </c>
      <c r="G36" s="20">
        <f t="shared" si="11"/>
        <v>31</v>
      </c>
      <c r="H36" s="20"/>
      <c r="I36" s="20"/>
      <c r="J36" s="14">
        <v>1</v>
      </c>
      <c r="K36" s="24"/>
      <c r="L36" s="24"/>
      <c r="M36" s="24"/>
      <c r="N36" s="25" t="s">
        <v>81</v>
      </c>
      <c r="O36" s="40" t="s">
        <v>82</v>
      </c>
      <c r="P36" s="20"/>
      <c r="Q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38.25">
      <c r="A37" s="14">
        <f t="shared" si="0"/>
        <v>27</v>
      </c>
      <c r="B37" s="14">
        <v>3</v>
      </c>
      <c r="C37" s="22" t="s">
        <v>83</v>
      </c>
      <c r="D37" s="20"/>
      <c r="E37" s="20">
        <v>1995</v>
      </c>
      <c r="F37" s="23" t="str">
        <f t="shared" si="10"/>
        <v/>
      </c>
      <c r="G37" s="20">
        <f t="shared" si="11"/>
        <v>30</v>
      </c>
      <c r="H37" s="20"/>
      <c r="I37" s="20"/>
      <c r="J37" s="14">
        <v>1</v>
      </c>
      <c r="K37" s="24"/>
      <c r="L37" s="24"/>
      <c r="M37" s="24"/>
      <c r="N37" s="25" t="s">
        <v>84</v>
      </c>
      <c r="O37" s="26" t="s">
        <v>79</v>
      </c>
      <c r="P37" s="20"/>
      <c r="Q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25.5">
      <c r="A38" s="14">
        <f t="shared" si="0"/>
        <v>28</v>
      </c>
      <c r="B38" s="14">
        <v>4</v>
      </c>
      <c r="C38" s="22" t="s">
        <v>85</v>
      </c>
      <c r="D38" s="20"/>
      <c r="E38" s="20">
        <v>1995</v>
      </c>
      <c r="F38" s="23" t="str">
        <f t="shared" si="10"/>
        <v/>
      </c>
      <c r="G38" s="20">
        <f t="shared" si="11"/>
        <v>30</v>
      </c>
      <c r="H38" s="20"/>
      <c r="I38" s="20"/>
      <c r="J38" s="14">
        <v>1</v>
      </c>
      <c r="K38" s="24"/>
      <c r="L38" s="24"/>
      <c r="M38" s="24"/>
      <c r="N38" s="20" t="s">
        <v>86</v>
      </c>
      <c r="O38" s="40" t="s">
        <v>82</v>
      </c>
      <c r="P38" s="20"/>
      <c r="Q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25.5">
      <c r="A39" s="14">
        <f t="shared" si="0"/>
        <v>29</v>
      </c>
      <c r="B39" s="14">
        <v>5</v>
      </c>
      <c r="C39" s="22" t="s">
        <v>87</v>
      </c>
      <c r="D39" s="20">
        <v>1991</v>
      </c>
      <c r="E39" s="20"/>
      <c r="F39" s="23">
        <f t="shared" si="10"/>
        <v>34</v>
      </c>
      <c r="G39" s="20" t="str">
        <f t="shared" si="11"/>
        <v/>
      </c>
      <c r="H39" s="20"/>
      <c r="I39" s="20"/>
      <c r="J39" s="14">
        <v>1</v>
      </c>
      <c r="K39" s="24"/>
      <c r="M39" s="24"/>
      <c r="N39" s="20" t="s">
        <v>88</v>
      </c>
      <c r="O39" s="41" t="s">
        <v>89</v>
      </c>
      <c r="P39" s="20"/>
      <c r="Q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25.5">
      <c r="A40" s="14">
        <f t="shared" si="0"/>
        <v>30</v>
      </c>
      <c r="B40" s="14">
        <v>6</v>
      </c>
      <c r="C40" s="22" t="s">
        <v>90</v>
      </c>
      <c r="D40" s="20">
        <v>1997</v>
      </c>
      <c r="E40" s="20"/>
      <c r="F40" s="23">
        <f t="shared" si="10"/>
        <v>28</v>
      </c>
      <c r="G40" s="20" t="str">
        <f t="shared" si="11"/>
        <v/>
      </c>
      <c r="H40" s="20"/>
      <c r="I40" s="20"/>
      <c r="J40" s="14">
        <v>1</v>
      </c>
      <c r="K40" s="24"/>
      <c r="L40" s="24"/>
      <c r="M40" s="24"/>
      <c r="N40" s="20" t="s">
        <v>91</v>
      </c>
      <c r="O40" s="41" t="s">
        <v>89</v>
      </c>
      <c r="P40" s="20"/>
      <c r="Q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25.5">
      <c r="A41" s="14">
        <f t="shared" si="0"/>
        <v>31</v>
      </c>
      <c r="B41" s="14">
        <v>7</v>
      </c>
      <c r="C41" s="22" t="s">
        <v>92</v>
      </c>
      <c r="D41" s="20"/>
      <c r="E41" s="20">
        <v>1996</v>
      </c>
      <c r="F41" s="23" t="str">
        <f t="shared" si="10"/>
        <v/>
      </c>
      <c r="G41" s="20">
        <f t="shared" si="11"/>
        <v>29</v>
      </c>
      <c r="H41" s="20"/>
      <c r="I41" s="20"/>
      <c r="J41" s="14">
        <v>1</v>
      </c>
      <c r="K41" s="24"/>
      <c r="L41" s="24"/>
      <c r="M41" s="24"/>
      <c r="N41" s="20" t="s">
        <v>93</v>
      </c>
      <c r="O41" s="21" t="s">
        <v>94</v>
      </c>
      <c r="P41" s="20"/>
      <c r="Q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25.5">
      <c r="A42" s="14">
        <f t="shared" si="0"/>
        <v>32</v>
      </c>
      <c r="B42" s="14">
        <v>8</v>
      </c>
      <c r="C42" s="22" t="s">
        <v>95</v>
      </c>
      <c r="D42" s="20">
        <v>1978</v>
      </c>
      <c r="E42" s="20"/>
      <c r="F42" s="23">
        <f t="shared" si="10"/>
        <v>47</v>
      </c>
      <c r="G42" s="20" t="str">
        <f t="shared" si="11"/>
        <v/>
      </c>
      <c r="H42" s="20"/>
      <c r="I42" s="20"/>
      <c r="J42" s="14">
        <v>1</v>
      </c>
      <c r="K42" s="24"/>
      <c r="L42" s="24"/>
      <c r="M42" s="24"/>
      <c r="N42" s="20" t="s">
        <v>91</v>
      </c>
      <c r="O42" s="41" t="s">
        <v>89</v>
      </c>
      <c r="P42" s="20"/>
      <c r="Q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25.5">
      <c r="A43" s="14">
        <f t="shared" si="0"/>
        <v>33</v>
      </c>
      <c r="B43" s="14">
        <v>9</v>
      </c>
      <c r="C43" s="22" t="s">
        <v>96</v>
      </c>
      <c r="D43" s="20">
        <v>1999</v>
      </c>
      <c r="E43" s="20"/>
      <c r="F43" s="23">
        <f t="shared" si="10"/>
        <v>26</v>
      </c>
      <c r="G43" s="20" t="str">
        <f t="shared" si="11"/>
        <v/>
      </c>
      <c r="H43" s="20"/>
      <c r="I43" s="20"/>
      <c r="J43" s="14">
        <v>1</v>
      </c>
      <c r="K43" s="24"/>
      <c r="L43" s="24"/>
      <c r="M43" s="24"/>
      <c r="N43" s="20" t="s">
        <v>93</v>
      </c>
      <c r="O43" s="21" t="s">
        <v>94</v>
      </c>
      <c r="P43" s="20"/>
      <c r="Q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25.5">
      <c r="A44" s="14">
        <f t="shared" si="0"/>
        <v>34</v>
      </c>
      <c r="B44" s="14">
        <v>10</v>
      </c>
      <c r="C44" s="22" t="s">
        <v>97</v>
      </c>
      <c r="D44" s="14"/>
      <c r="E44" s="20">
        <v>1995</v>
      </c>
      <c r="F44" s="23" t="str">
        <f t="shared" si="10"/>
        <v/>
      </c>
      <c r="G44" s="20">
        <f t="shared" si="11"/>
        <v>30</v>
      </c>
      <c r="H44" s="14"/>
      <c r="I44" s="14"/>
      <c r="J44" s="14">
        <v>1</v>
      </c>
      <c r="K44" s="14"/>
      <c r="L44" s="14"/>
      <c r="M44" s="14"/>
      <c r="N44" s="20" t="s">
        <v>86</v>
      </c>
      <c r="O44" s="40" t="s">
        <v>82</v>
      </c>
      <c r="P44" s="14"/>
      <c r="Q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25.5">
      <c r="A45" s="14">
        <f t="shared" si="0"/>
        <v>35</v>
      </c>
      <c r="B45" s="14">
        <v>11</v>
      </c>
      <c r="C45" s="22" t="s">
        <v>98</v>
      </c>
      <c r="D45" s="20"/>
      <c r="E45" s="20">
        <v>1994</v>
      </c>
      <c r="F45" s="23" t="str">
        <f t="shared" si="10"/>
        <v/>
      </c>
      <c r="G45" s="20">
        <f t="shared" si="11"/>
        <v>31</v>
      </c>
      <c r="H45" s="20"/>
      <c r="I45" s="20"/>
      <c r="J45" s="14">
        <v>1</v>
      </c>
      <c r="K45" s="24"/>
      <c r="L45" s="24"/>
      <c r="M45" s="24"/>
      <c r="N45" s="20" t="s">
        <v>86</v>
      </c>
      <c r="O45" s="40" t="s">
        <v>82</v>
      </c>
      <c r="P45" s="20"/>
      <c r="Q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30">
      <c r="A46" s="14" t="str">
        <f t="shared" si="0"/>
        <v/>
      </c>
      <c r="B46" s="14"/>
      <c r="C46" s="27" t="s">
        <v>99</v>
      </c>
      <c r="D46" s="18"/>
      <c r="E46" s="18"/>
      <c r="F46" s="23" t="str">
        <f t="shared" si="10"/>
        <v/>
      </c>
      <c r="G46" s="20" t="str">
        <f t="shared" si="11"/>
        <v/>
      </c>
      <c r="H46" s="27"/>
      <c r="I46" s="27"/>
      <c r="J46" s="27"/>
      <c r="K46" s="27"/>
      <c r="L46" s="27"/>
      <c r="M46" s="27"/>
      <c r="N46" s="27"/>
      <c r="O46" s="35"/>
      <c r="P46" s="20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25.5">
      <c r="A47" s="14">
        <f t="shared" si="0"/>
        <v>36</v>
      </c>
      <c r="B47" s="14">
        <v>1</v>
      </c>
      <c r="C47" s="22" t="s">
        <v>100</v>
      </c>
      <c r="D47" s="20"/>
      <c r="E47" s="20">
        <v>1979</v>
      </c>
      <c r="F47" s="23" t="str">
        <f t="shared" si="10"/>
        <v/>
      </c>
      <c r="G47" s="20">
        <f t="shared" si="11"/>
        <v>46</v>
      </c>
      <c r="H47" s="20" t="s">
        <v>34</v>
      </c>
      <c r="I47" s="20" t="s">
        <v>24</v>
      </c>
      <c r="J47" s="14">
        <v>1</v>
      </c>
      <c r="K47" s="24"/>
      <c r="L47" s="24"/>
      <c r="M47" s="24"/>
      <c r="N47" s="25" t="s">
        <v>101</v>
      </c>
      <c r="O47" s="31" t="s">
        <v>43</v>
      </c>
      <c r="P47" s="20"/>
      <c r="Q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32.25" customHeight="1">
      <c r="A48" s="14">
        <f t="shared" si="0"/>
        <v>37</v>
      </c>
      <c r="B48" s="14">
        <v>2</v>
      </c>
      <c r="C48" s="22" t="s">
        <v>102</v>
      </c>
      <c r="D48" s="20"/>
      <c r="E48" s="20">
        <v>1991</v>
      </c>
      <c r="F48" s="23" t="str">
        <f t="shared" si="10"/>
        <v/>
      </c>
      <c r="G48" s="20">
        <f t="shared" si="11"/>
        <v>34</v>
      </c>
      <c r="H48" s="20" t="s">
        <v>39</v>
      </c>
      <c r="I48" s="20"/>
      <c r="J48" s="14">
        <v>1</v>
      </c>
      <c r="K48" s="24"/>
      <c r="L48" s="24"/>
      <c r="M48" s="24"/>
      <c r="N48" s="25" t="s">
        <v>101</v>
      </c>
      <c r="O48" s="31" t="s">
        <v>43</v>
      </c>
      <c r="P48" s="20"/>
      <c r="Q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5">
      <c r="A49" s="14">
        <f t="shared" si="0"/>
        <v>38</v>
      </c>
      <c r="B49" s="14">
        <v>3</v>
      </c>
      <c r="C49" s="22" t="s">
        <v>103</v>
      </c>
      <c r="D49" s="20"/>
      <c r="E49" s="20">
        <v>1990</v>
      </c>
      <c r="F49" s="23" t="str">
        <f t="shared" si="10"/>
        <v/>
      </c>
      <c r="G49" s="20">
        <f t="shared" si="11"/>
        <v>35</v>
      </c>
      <c r="H49" s="20"/>
      <c r="I49" s="20"/>
      <c r="J49" s="14">
        <v>1</v>
      </c>
      <c r="K49" s="24"/>
      <c r="L49" s="24"/>
      <c r="M49" s="24"/>
      <c r="N49" s="25" t="s">
        <v>101</v>
      </c>
      <c r="O49" s="31" t="s">
        <v>43</v>
      </c>
      <c r="P49" s="20"/>
      <c r="Q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5">
      <c r="A50" s="14">
        <f t="shared" si="0"/>
        <v>39</v>
      </c>
      <c r="B50" s="14">
        <v>4</v>
      </c>
      <c r="C50" s="22" t="s">
        <v>104</v>
      </c>
      <c r="D50" s="20"/>
      <c r="E50" s="20">
        <v>1991</v>
      </c>
      <c r="F50" s="23" t="str">
        <f t="shared" si="10"/>
        <v/>
      </c>
      <c r="G50" s="20">
        <f t="shared" si="11"/>
        <v>34</v>
      </c>
      <c r="H50" s="20"/>
      <c r="I50" s="20"/>
      <c r="J50" s="14">
        <v>1</v>
      </c>
      <c r="K50" s="24"/>
      <c r="L50" s="24"/>
      <c r="M50" s="24"/>
      <c r="N50" s="25" t="s">
        <v>101</v>
      </c>
      <c r="O50" s="31" t="s">
        <v>43</v>
      </c>
      <c r="P50" s="20"/>
      <c r="Q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5">
      <c r="A51" s="14">
        <f t="shared" si="0"/>
        <v>40</v>
      </c>
      <c r="B51" s="14">
        <v>5</v>
      </c>
      <c r="C51" s="22" t="s">
        <v>105</v>
      </c>
      <c r="D51" s="20"/>
      <c r="E51" s="20">
        <v>1994</v>
      </c>
      <c r="F51" s="23" t="str">
        <f t="shared" si="10"/>
        <v/>
      </c>
      <c r="G51" s="20">
        <f t="shared" si="11"/>
        <v>31</v>
      </c>
      <c r="H51" s="20"/>
      <c r="I51" s="20"/>
      <c r="J51" s="14">
        <v>1</v>
      </c>
      <c r="K51" s="24"/>
      <c r="L51" s="24"/>
      <c r="M51" s="24"/>
      <c r="N51" s="25" t="s">
        <v>101</v>
      </c>
      <c r="O51" s="31" t="s">
        <v>43</v>
      </c>
      <c r="P51" s="20"/>
      <c r="Q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5">
      <c r="A52" s="14">
        <f t="shared" si="0"/>
        <v>41</v>
      </c>
      <c r="B52" s="14">
        <v>6</v>
      </c>
      <c r="C52" s="22" t="s">
        <v>106</v>
      </c>
      <c r="D52" s="20"/>
      <c r="E52" s="20">
        <v>1972</v>
      </c>
      <c r="F52" s="23" t="str">
        <f t="shared" si="10"/>
        <v/>
      </c>
      <c r="G52" s="20">
        <f t="shared" si="11"/>
        <v>53</v>
      </c>
      <c r="H52" s="20"/>
      <c r="I52" s="20"/>
      <c r="J52" s="14">
        <v>1</v>
      </c>
      <c r="K52" s="24" t="s">
        <v>35</v>
      </c>
      <c r="L52" s="24"/>
      <c r="M52" s="24"/>
      <c r="N52" s="39" t="s">
        <v>42</v>
      </c>
      <c r="O52" s="31" t="s">
        <v>43</v>
      </c>
      <c r="P52" s="20"/>
      <c r="Q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5">
      <c r="A53" s="14">
        <f t="shared" si="0"/>
        <v>42</v>
      </c>
      <c r="B53" s="14">
        <v>7</v>
      </c>
      <c r="C53" s="22" t="s">
        <v>107</v>
      </c>
      <c r="D53" s="20"/>
      <c r="E53" s="20">
        <v>1983</v>
      </c>
      <c r="F53" s="23" t="str">
        <f t="shared" si="10"/>
        <v/>
      </c>
      <c r="G53" s="20">
        <f t="shared" si="11"/>
        <v>42</v>
      </c>
      <c r="H53" s="20"/>
      <c r="I53" s="20"/>
      <c r="J53" s="14">
        <v>1</v>
      </c>
      <c r="K53" s="24"/>
      <c r="L53" s="24"/>
      <c r="M53" s="24"/>
      <c r="N53" s="39" t="s">
        <v>42</v>
      </c>
      <c r="O53" s="31" t="s">
        <v>43</v>
      </c>
      <c r="P53" s="20"/>
      <c r="Q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5">
      <c r="A54" s="14">
        <f t="shared" si="0"/>
        <v>43</v>
      </c>
      <c r="B54" s="14">
        <v>8</v>
      </c>
      <c r="C54" s="22" t="s">
        <v>108</v>
      </c>
      <c r="D54" s="20"/>
      <c r="E54" s="20">
        <v>1992</v>
      </c>
      <c r="F54" s="23" t="str">
        <f t="shared" si="10"/>
        <v/>
      </c>
      <c r="G54" s="20">
        <f t="shared" si="11"/>
        <v>33</v>
      </c>
      <c r="H54" s="20"/>
      <c r="I54" s="20"/>
      <c r="J54" s="14">
        <v>1</v>
      </c>
      <c r="K54" s="24"/>
      <c r="L54" s="24"/>
      <c r="M54" s="24"/>
      <c r="N54" s="39" t="s">
        <v>42</v>
      </c>
      <c r="O54" s="31" t="s">
        <v>43</v>
      </c>
      <c r="P54" s="20"/>
      <c r="Q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5">
      <c r="A55" s="14">
        <f t="shared" si="0"/>
        <v>44</v>
      </c>
      <c r="B55" s="14">
        <v>9</v>
      </c>
      <c r="C55" s="22" t="s">
        <v>109</v>
      </c>
      <c r="D55" s="20"/>
      <c r="E55" s="20">
        <v>1993</v>
      </c>
      <c r="F55" s="23" t="str">
        <f t="shared" si="10"/>
        <v/>
      </c>
      <c r="G55" s="20">
        <f t="shared" si="11"/>
        <v>32</v>
      </c>
      <c r="H55" s="20"/>
      <c r="I55" s="20"/>
      <c r="J55" s="14">
        <v>1</v>
      </c>
      <c r="K55" s="24"/>
      <c r="L55" s="24"/>
      <c r="M55" s="24"/>
      <c r="N55" s="39" t="s">
        <v>42</v>
      </c>
      <c r="O55" s="31" t="s">
        <v>43</v>
      </c>
      <c r="P55" s="20"/>
      <c r="Q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5">
      <c r="A56" s="14">
        <f t="shared" si="0"/>
        <v>45</v>
      </c>
      <c r="B56" s="14">
        <v>10</v>
      </c>
      <c r="C56" s="22" t="s">
        <v>110</v>
      </c>
      <c r="D56" s="20"/>
      <c r="E56" s="20">
        <v>1981</v>
      </c>
      <c r="F56" s="23" t="str">
        <f t="shared" si="10"/>
        <v/>
      </c>
      <c r="G56" s="20">
        <f t="shared" si="11"/>
        <v>44</v>
      </c>
      <c r="H56" s="20"/>
      <c r="I56" s="20"/>
      <c r="J56" s="14">
        <v>1</v>
      </c>
      <c r="K56" s="24"/>
      <c r="L56" s="24"/>
      <c r="M56" s="24"/>
      <c r="N56" s="39" t="s">
        <v>42</v>
      </c>
      <c r="O56" s="31" t="s">
        <v>43</v>
      </c>
      <c r="P56" s="20"/>
      <c r="Q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5">
      <c r="A57" s="14">
        <f t="shared" si="0"/>
        <v>46</v>
      </c>
      <c r="B57" s="14">
        <v>11</v>
      </c>
      <c r="C57" s="22" t="s">
        <v>111</v>
      </c>
      <c r="D57" s="20"/>
      <c r="E57" s="20">
        <v>1983</v>
      </c>
      <c r="F57" s="23" t="str">
        <f t="shared" si="10"/>
        <v/>
      </c>
      <c r="G57" s="20">
        <f t="shared" si="11"/>
        <v>42</v>
      </c>
      <c r="H57" s="20"/>
      <c r="I57" s="20"/>
      <c r="J57" s="14">
        <v>1</v>
      </c>
      <c r="K57" s="24"/>
      <c r="L57" s="24"/>
      <c r="M57" s="24"/>
      <c r="N57" s="39" t="s">
        <v>42</v>
      </c>
      <c r="O57" s="31" t="s">
        <v>43</v>
      </c>
      <c r="P57" s="20"/>
      <c r="Q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5">
      <c r="A58" s="14">
        <f t="shared" si="0"/>
        <v>47</v>
      </c>
      <c r="B58" s="14">
        <v>12</v>
      </c>
      <c r="C58" s="22" t="s">
        <v>112</v>
      </c>
      <c r="D58" s="20"/>
      <c r="E58" s="20">
        <v>1985</v>
      </c>
      <c r="F58" s="23" t="str">
        <f t="shared" si="10"/>
        <v/>
      </c>
      <c r="G58" s="20">
        <f t="shared" si="11"/>
        <v>40</v>
      </c>
      <c r="H58" s="20"/>
      <c r="I58" s="20"/>
      <c r="J58" s="14">
        <v>1</v>
      </c>
      <c r="K58" s="24"/>
      <c r="L58" s="24"/>
      <c r="M58" s="24"/>
      <c r="N58" s="20" t="s">
        <v>113</v>
      </c>
      <c r="O58" s="31" t="s">
        <v>113</v>
      </c>
      <c r="P58" s="20"/>
      <c r="Q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5">
      <c r="A59" s="14">
        <f t="shared" si="0"/>
        <v>48</v>
      </c>
      <c r="B59" s="14">
        <v>13</v>
      </c>
      <c r="C59" s="22" t="s">
        <v>114</v>
      </c>
      <c r="D59" s="20"/>
      <c r="E59" s="20">
        <v>1992</v>
      </c>
      <c r="F59" s="23" t="str">
        <f t="shared" si="10"/>
        <v/>
      </c>
      <c r="G59" s="20">
        <f t="shared" si="11"/>
        <v>33</v>
      </c>
      <c r="H59" s="20"/>
      <c r="I59" s="20"/>
      <c r="J59" s="14">
        <v>1</v>
      </c>
      <c r="K59" s="24"/>
      <c r="L59" s="24"/>
      <c r="M59" s="24"/>
      <c r="N59" s="39" t="s">
        <v>42</v>
      </c>
      <c r="O59" s="31" t="s">
        <v>43</v>
      </c>
      <c r="P59" s="20"/>
      <c r="Q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30">
      <c r="A60" s="14" t="str">
        <f t="shared" si="0"/>
        <v/>
      </c>
      <c r="B60" s="14"/>
      <c r="C60" s="27" t="s">
        <v>115</v>
      </c>
      <c r="D60" s="18"/>
      <c r="E60" s="18"/>
      <c r="F60" s="23" t="str">
        <f t="shared" si="10"/>
        <v/>
      </c>
      <c r="G60" s="20" t="str">
        <f t="shared" si="11"/>
        <v/>
      </c>
      <c r="H60" s="27"/>
      <c r="I60" s="27"/>
      <c r="J60" s="27"/>
      <c r="K60" s="27"/>
      <c r="L60" s="27"/>
      <c r="M60" s="27"/>
      <c r="N60" s="27"/>
      <c r="O60" s="28"/>
      <c r="P60" s="17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25.5">
      <c r="A61" s="14">
        <f t="shared" si="0"/>
        <v>49</v>
      </c>
      <c r="B61" s="14">
        <v>1</v>
      </c>
      <c r="C61" s="22" t="s">
        <v>116</v>
      </c>
      <c r="D61" s="20"/>
      <c r="E61" s="20">
        <v>1971</v>
      </c>
      <c r="F61" s="23" t="str">
        <f t="shared" si="10"/>
        <v/>
      </c>
      <c r="G61" s="20">
        <f t="shared" si="11"/>
        <v>54</v>
      </c>
      <c r="H61" s="20" t="s">
        <v>117</v>
      </c>
      <c r="I61" s="20" t="s">
        <v>24</v>
      </c>
      <c r="J61" s="14">
        <v>1</v>
      </c>
      <c r="K61" s="24"/>
      <c r="L61" s="24"/>
      <c r="M61" s="24"/>
      <c r="N61" s="25" t="s">
        <v>118</v>
      </c>
      <c r="O61" s="42" t="s">
        <v>119</v>
      </c>
      <c r="P61" s="20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25.5">
      <c r="A62" s="14">
        <f t="shared" si="0"/>
        <v>50</v>
      </c>
      <c r="B62" s="14">
        <v>2</v>
      </c>
      <c r="C62" s="22" t="s">
        <v>120</v>
      </c>
      <c r="D62" s="20"/>
      <c r="E62" s="20">
        <v>1990</v>
      </c>
      <c r="F62" s="23" t="str">
        <f t="shared" si="10"/>
        <v/>
      </c>
      <c r="G62" s="20">
        <f t="shared" si="11"/>
        <v>35</v>
      </c>
      <c r="H62" s="20" t="s">
        <v>121</v>
      </c>
      <c r="I62" s="20"/>
      <c r="J62" s="14">
        <v>1</v>
      </c>
      <c r="K62" s="24"/>
      <c r="L62" s="24"/>
      <c r="M62" s="24"/>
      <c r="N62" s="25" t="s">
        <v>122</v>
      </c>
      <c r="O62" s="42" t="s">
        <v>123</v>
      </c>
      <c r="P62" s="20"/>
      <c r="Q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5">
      <c r="A63" s="14">
        <f t="shared" si="0"/>
        <v>51</v>
      </c>
      <c r="B63" s="14">
        <v>3</v>
      </c>
      <c r="C63" s="22" t="s">
        <v>124</v>
      </c>
      <c r="D63" s="20"/>
      <c r="E63" s="20">
        <v>1974</v>
      </c>
      <c r="F63" s="23" t="str">
        <f t="shared" si="10"/>
        <v/>
      </c>
      <c r="G63" s="20">
        <f t="shared" si="11"/>
        <v>51</v>
      </c>
      <c r="H63" s="20"/>
      <c r="I63" s="20"/>
      <c r="J63" s="14">
        <v>1</v>
      </c>
      <c r="K63" s="24"/>
      <c r="L63" s="24"/>
      <c r="M63" s="24"/>
      <c r="N63" s="43" t="s">
        <v>125</v>
      </c>
      <c r="O63" s="42" t="s">
        <v>123</v>
      </c>
      <c r="P63" s="20"/>
      <c r="Q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5">
      <c r="A64" s="14">
        <f t="shared" si="0"/>
        <v>52</v>
      </c>
      <c r="B64" s="14">
        <v>4</v>
      </c>
      <c r="C64" s="22" t="s">
        <v>126</v>
      </c>
      <c r="D64" s="20"/>
      <c r="E64" s="20">
        <v>1991</v>
      </c>
      <c r="F64" s="23" t="str">
        <f t="shared" si="10"/>
        <v/>
      </c>
      <c r="G64" s="20">
        <f t="shared" si="11"/>
        <v>34</v>
      </c>
      <c r="H64" s="20"/>
      <c r="I64" s="20"/>
      <c r="J64" s="14">
        <v>1</v>
      </c>
      <c r="K64" s="24"/>
      <c r="L64" s="24"/>
      <c r="M64" s="24"/>
      <c r="N64" s="43" t="s">
        <v>125</v>
      </c>
      <c r="O64" s="42" t="s">
        <v>123</v>
      </c>
      <c r="P64" s="20"/>
      <c r="Q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5">
      <c r="A65" s="14">
        <f t="shared" si="0"/>
        <v>53</v>
      </c>
      <c r="B65" s="14">
        <v>5</v>
      </c>
      <c r="C65" s="22" t="s">
        <v>127</v>
      </c>
      <c r="D65" s="20"/>
      <c r="E65" s="20">
        <v>1987</v>
      </c>
      <c r="F65" s="23" t="str">
        <f t="shared" si="10"/>
        <v/>
      </c>
      <c r="G65" s="20">
        <f t="shared" si="11"/>
        <v>38</v>
      </c>
      <c r="H65" s="20"/>
      <c r="I65" s="20"/>
      <c r="J65" s="14">
        <v>1</v>
      </c>
      <c r="K65" s="24"/>
      <c r="L65" s="24"/>
      <c r="M65" s="24"/>
      <c r="N65" s="43" t="s">
        <v>125</v>
      </c>
      <c r="O65" s="42" t="s">
        <v>123</v>
      </c>
      <c r="P65" s="20"/>
      <c r="Q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5">
      <c r="A66" s="14">
        <f t="shared" si="0"/>
        <v>54</v>
      </c>
      <c r="B66" s="14">
        <v>6</v>
      </c>
      <c r="C66" s="22" t="s">
        <v>128</v>
      </c>
      <c r="D66" s="20"/>
      <c r="E66" s="20">
        <v>1996</v>
      </c>
      <c r="F66" s="23" t="str">
        <f t="shared" si="10"/>
        <v/>
      </c>
      <c r="G66" s="20">
        <f t="shared" si="11"/>
        <v>29</v>
      </c>
      <c r="H66" s="20"/>
      <c r="I66" s="20"/>
      <c r="J66" s="14">
        <v>1</v>
      </c>
      <c r="K66" s="24"/>
      <c r="L66" s="24"/>
      <c r="M66" s="24"/>
      <c r="N66" s="43" t="s">
        <v>125</v>
      </c>
      <c r="O66" s="42" t="s">
        <v>123</v>
      </c>
      <c r="P66" s="20"/>
      <c r="Q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5">
      <c r="A67" s="14">
        <f t="shared" si="0"/>
        <v>55</v>
      </c>
      <c r="B67" s="14">
        <v>7</v>
      </c>
      <c r="C67" s="22" t="s">
        <v>129</v>
      </c>
      <c r="D67" s="20">
        <v>1991</v>
      </c>
      <c r="E67" s="20"/>
      <c r="F67" s="23">
        <f t="shared" si="10"/>
        <v>34</v>
      </c>
      <c r="G67" s="20" t="str">
        <f t="shared" si="11"/>
        <v/>
      </c>
      <c r="H67" s="20"/>
      <c r="I67" s="20"/>
      <c r="J67" s="14">
        <v>1</v>
      </c>
      <c r="K67" s="24"/>
      <c r="L67" s="24"/>
      <c r="M67" s="24"/>
      <c r="N67" s="43" t="s">
        <v>125</v>
      </c>
      <c r="O67" s="42" t="s">
        <v>123</v>
      </c>
      <c r="P67" s="20"/>
      <c r="Q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5">
      <c r="A68" s="14">
        <f t="shared" si="0"/>
        <v>56</v>
      </c>
      <c r="B68" s="14">
        <v>8</v>
      </c>
      <c r="C68" s="22" t="s">
        <v>130</v>
      </c>
      <c r="D68" s="20"/>
      <c r="E68" s="20">
        <v>1991</v>
      </c>
      <c r="F68" s="23" t="str">
        <f t="shared" si="10"/>
        <v/>
      </c>
      <c r="G68" s="20">
        <f t="shared" si="11"/>
        <v>34</v>
      </c>
      <c r="H68" s="20"/>
      <c r="I68" s="20"/>
      <c r="J68" s="14">
        <v>1</v>
      </c>
      <c r="K68" s="24"/>
      <c r="L68" s="24"/>
      <c r="M68" s="24"/>
      <c r="N68" s="43" t="s">
        <v>125</v>
      </c>
      <c r="O68" s="42" t="s">
        <v>123</v>
      </c>
      <c r="P68" s="20"/>
      <c r="Q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5">
      <c r="A69" s="14">
        <f t="shared" si="0"/>
        <v>57</v>
      </c>
      <c r="B69" s="14">
        <v>9</v>
      </c>
      <c r="C69" s="22" t="s">
        <v>131</v>
      </c>
      <c r="D69" s="20">
        <v>1988</v>
      </c>
      <c r="E69" s="20"/>
      <c r="F69" s="23">
        <f t="shared" si="10"/>
        <v>37</v>
      </c>
      <c r="G69" s="20" t="str">
        <f t="shared" si="11"/>
        <v/>
      </c>
      <c r="H69" s="20"/>
      <c r="I69" s="20"/>
      <c r="J69" s="14">
        <v>1</v>
      </c>
      <c r="K69" s="24"/>
      <c r="L69" s="24"/>
      <c r="M69" s="24"/>
      <c r="N69" s="43" t="s">
        <v>125</v>
      </c>
      <c r="O69" s="42" t="s">
        <v>123</v>
      </c>
      <c r="P69" s="20"/>
      <c r="Q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25.5">
      <c r="A70" s="14">
        <f t="shared" si="0"/>
        <v>58</v>
      </c>
      <c r="B70" s="14">
        <v>10</v>
      </c>
      <c r="C70" s="22" t="s">
        <v>132</v>
      </c>
      <c r="D70" s="20"/>
      <c r="E70" s="20">
        <v>1992</v>
      </c>
      <c r="F70" s="23" t="str">
        <f t="shared" si="10"/>
        <v/>
      </c>
      <c r="G70" s="20">
        <f t="shared" si="11"/>
        <v>33</v>
      </c>
      <c r="H70" s="20"/>
      <c r="I70" s="20"/>
      <c r="J70" s="14">
        <v>1</v>
      </c>
      <c r="K70" s="24"/>
      <c r="L70" s="24"/>
      <c r="M70" s="24"/>
      <c r="N70" s="20" t="s">
        <v>133</v>
      </c>
      <c r="O70" s="42" t="s">
        <v>134</v>
      </c>
      <c r="P70" s="20"/>
      <c r="Q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25.5">
      <c r="A71" s="14"/>
      <c r="B71" s="14">
        <v>11</v>
      </c>
      <c r="C71" s="22" t="s">
        <v>135</v>
      </c>
      <c r="D71" s="20"/>
      <c r="E71" s="20">
        <v>1993</v>
      </c>
      <c r="F71" s="23"/>
      <c r="G71" s="20">
        <f t="shared" si="11"/>
        <v>32</v>
      </c>
      <c r="H71" s="20"/>
      <c r="I71" s="20"/>
      <c r="J71" s="14">
        <v>1</v>
      </c>
      <c r="K71" s="24"/>
      <c r="L71" s="24"/>
      <c r="M71" s="24"/>
      <c r="N71" s="20" t="s">
        <v>133</v>
      </c>
      <c r="O71" s="42" t="s">
        <v>134</v>
      </c>
      <c r="P71" s="20"/>
      <c r="Q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25.5">
      <c r="A72" s="14">
        <f t="shared" ref="A72:A326" si="12">IF(ISBLANK(B72),"",COUNTA($B$8:B72))</f>
        <v>60</v>
      </c>
      <c r="B72" s="14">
        <v>12</v>
      </c>
      <c r="C72" s="22" t="s">
        <v>136</v>
      </c>
      <c r="D72" s="20"/>
      <c r="E72" s="20">
        <v>1986</v>
      </c>
      <c r="F72" s="23" t="str">
        <f t="shared" ref="F72:G72" si="13">IF(ISBLANK(D72),"",2025-D72)</f>
        <v/>
      </c>
      <c r="G72" s="20">
        <f t="shared" si="13"/>
        <v>39</v>
      </c>
      <c r="H72" s="20"/>
      <c r="I72" s="20"/>
      <c r="J72" s="14">
        <v>1</v>
      </c>
      <c r="K72" s="24"/>
      <c r="L72" s="24"/>
      <c r="M72" s="24"/>
      <c r="N72" s="20" t="s">
        <v>133</v>
      </c>
      <c r="O72" s="42" t="s">
        <v>134</v>
      </c>
      <c r="P72" s="20"/>
      <c r="Q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25.5">
      <c r="A73" s="14">
        <f t="shared" si="12"/>
        <v>61</v>
      </c>
      <c r="B73" s="14">
        <v>13</v>
      </c>
      <c r="C73" s="22" t="s">
        <v>137</v>
      </c>
      <c r="D73" s="20"/>
      <c r="E73" s="20">
        <v>1986</v>
      </c>
      <c r="F73" s="23" t="str">
        <f t="shared" ref="F73:G73" si="14">IF(ISBLANK(D73),"",2025-D73)</f>
        <v/>
      </c>
      <c r="G73" s="20">
        <f t="shared" si="14"/>
        <v>39</v>
      </c>
      <c r="H73" s="20"/>
      <c r="I73" s="20"/>
      <c r="J73" s="14">
        <v>1</v>
      </c>
      <c r="K73" s="24"/>
      <c r="L73" s="24"/>
      <c r="M73" s="24"/>
      <c r="N73" s="20" t="s">
        <v>133</v>
      </c>
      <c r="O73" s="42" t="s">
        <v>134</v>
      </c>
      <c r="P73" s="20"/>
      <c r="Q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5">
      <c r="A74" s="14">
        <f t="shared" si="12"/>
        <v>62</v>
      </c>
      <c r="B74" s="14">
        <v>14</v>
      </c>
      <c r="C74" s="22" t="s">
        <v>138</v>
      </c>
      <c r="D74" s="20"/>
      <c r="E74" s="20">
        <v>1994</v>
      </c>
      <c r="F74" s="23" t="str">
        <f t="shared" ref="F74:G74" si="15">IF(ISBLANK(D74),"",2025-D74)</f>
        <v/>
      </c>
      <c r="G74" s="20">
        <f t="shared" si="15"/>
        <v>31</v>
      </c>
      <c r="H74" s="20"/>
      <c r="I74" s="20"/>
      <c r="J74" s="14">
        <v>1</v>
      </c>
      <c r="K74" s="24"/>
      <c r="L74" s="24"/>
      <c r="M74" s="24"/>
      <c r="N74" s="20" t="s">
        <v>125</v>
      </c>
      <c r="O74" s="42" t="s">
        <v>134</v>
      </c>
      <c r="P74" s="20"/>
      <c r="Q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25.5">
      <c r="A75" s="14">
        <f t="shared" si="12"/>
        <v>63</v>
      </c>
      <c r="B75" s="14">
        <v>15</v>
      </c>
      <c r="C75" s="22" t="s">
        <v>139</v>
      </c>
      <c r="D75" s="20"/>
      <c r="E75" s="20">
        <v>1998</v>
      </c>
      <c r="F75" s="23" t="str">
        <f t="shared" ref="F75:G75" si="16">IF(ISBLANK(D75),"",2025-D75)</f>
        <v/>
      </c>
      <c r="G75" s="20">
        <f t="shared" si="16"/>
        <v>27</v>
      </c>
      <c r="H75" s="20"/>
      <c r="I75" s="20"/>
      <c r="J75" s="14">
        <v>1</v>
      </c>
      <c r="K75" s="24"/>
      <c r="L75" s="24"/>
      <c r="M75" s="24"/>
      <c r="N75" s="20" t="s">
        <v>133</v>
      </c>
      <c r="O75" s="42" t="s">
        <v>134</v>
      </c>
      <c r="P75" s="20"/>
      <c r="Q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25.5">
      <c r="A76" s="14">
        <f t="shared" si="12"/>
        <v>64</v>
      </c>
      <c r="B76" s="14">
        <v>16</v>
      </c>
      <c r="C76" s="22" t="s">
        <v>140</v>
      </c>
      <c r="D76" s="20"/>
      <c r="E76" s="20">
        <v>1980</v>
      </c>
      <c r="F76" s="23" t="str">
        <f t="shared" ref="F76:G76" si="17">IF(ISBLANK(D76),"",2025-D76)</f>
        <v/>
      </c>
      <c r="G76" s="20">
        <f t="shared" si="17"/>
        <v>45</v>
      </c>
      <c r="H76" s="20"/>
      <c r="I76" s="20"/>
      <c r="J76" s="14">
        <v>1</v>
      </c>
      <c r="K76" s="24"/>
      <c r="L76" s="24"/>
      <c r="M76" s="24"/>
      <c r="N76" s="20" t="s">
        <v>133</v>
      </c>
      <c r="O76" s="42" t="s">
        <v>134</v>
      </c>
      <c r="P76" s="20"/>
      <c r="Q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5">
      <c r="A77" s="14">
        <f t="shared" si="12"/>
        <v>65</v>
      </c>
      <c r="B77" s="14">
        <v>17</v>
      </c>
      <c r="C77" s="22" t="s">
        <v>141</v>
      </c>
      <c r="D77" s="20"/>
      <c r="E77" s="20">
        <v>1991</v>
      </c>
      <c r="F77" s="23" t="str">
        <f t="shared" ref="F77:G77" si="18">IF(ISBLANK(D77),"",2025-D77)</f>
        <v/>
      </c>
      <c r="G77" s="20">
        <f t="shared" si="18"/>
        <v>34</v>
      </c>
      <c r="H77" s="20"/>
      <c r="I77" s="20"/>
      <c r="J77" s="14">
        <v>1</v>
      </c>
      <c r="K77" s="24"/>
      <c r="L77" s="24"/>
      <c r="M77" s="24"/>
      <c r="N77" s="20" t="s">
        <v>142</v>
      </c>
      <c r="O77" s="42" t="s">
        <v>134</v>
      </c>
      <c r="P77" s="20"/>
      <c r="Q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5">
      <c r="A78" s="14">
        <f t="shared" si="12"/>
        <v>66</v>
      </c>
      <c r="B78" s="14">
        <v>18</v>
      </c>
      <c r="C78" s="22" t="s">
        <v>143</v>
      </c>
      <c r="D78" s="20">
        <v>1991</v>
      </c>
      <c r="E78" s="20"/>
      <c r="F78" s="23">
        <f t="shared" ref="F78:G78" si="19">IF(ISBLANK(D78),"",2025-D78)</f>
        <v>34</v>
      </c>
      <c r="G78" s="20" t="str">
        <f t="shared" si="19"/>
        <v/>
      </c>
      <c r="H78" s="20"/>
      <c r="I78" s="20"/>
      <c r="J78" s="14">
        <v>1</v>
      </c>
      <c r="K78" s="24"/>
      <c r="L78" s="24"/>
      <c r="M78" s="24"/>
      <c r="N78" s="20" t="s">
        <v>125</v>
      </c>
      <c r="O78" s="42" t="s">
        <v>134</v>
      </c>
      <c r="P78" s="20"/>
      <c r="Q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5">
      <c r="A79" s="14">
        <f t="shared" si="12"/>
        <v>67</v>
      </c>
      <c r="B79" s="14">
        <v>19</v>
      </c>
      <c r="C79" s="22" t="s">
        <v>144</v>
      </c>
      <c r="D79" s="20">
        <v>1966</v>
      </c>
      <c r="E79" s="20"/>
      <c r="F79" s="23">
        <f t="shared" ref="F79:G79" si="20">IF(ISBLANK(D79),"",2025-D79)</f>
        <v>59</v>
      </c>
      <c r="G79" s="20" t="str">
        <f t="shared" si="20"/>
        <v/>
      </c>
      <c r="H79" s="20"/>
      <c r="I79" s="20"/>
      <c r="J79" s="14">
        <v>1</v>
      </c>
      <c r="K79" s="24"/>
      <c r="L79" s="24"/>
      <c r="M79" s="24"/>
      <c r="N79" s="20" t="s">
        <v>142</v>
      </c>
      <c r="O79" s="42" t="s">
        <v>134</v>
      </c>
      <c r="P79" s="20"/>
      <c r="Q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5">
      <c r="A80" s="14">
        <f t="shared" si="12"/>
        <v>68</v>
      </c>
      <c r="B80" s="14">
        <v>20</v>
      </c>
      <c r="C80" s="22" t="s">
        <v>145</v>
      </c>
      <c r="D80" s="20"/>
      <c r="E80" s="20">
        <v>1987</v>
      </c>
      <c r="F80" s="23" t="str">
        <f t="shared" ref="F80:G80" si="21">IF(ISBLANK(D80),"",2025-D80)</f>
        <v/>
      </c>
      <c r="G80" s="20">
        <f t="shared" si="21"/>
        <v>38</v>
      </c>
      <c r="H80" s="20"/>
      <c r="I80" s="20"/>
      <c r="J80" s="14">
        <v>1</v>
      </c>
      <c r="K80" s="24"/>
      <c r="L80" s="24"/>
      <c r="M80" s="24"/>
      <c r="N80" s="20" t="s">
        <v>142</v>
      </c>
      <c r="O80" s="42" t="s">
        <v>134</v>
      </c>
      <c r="P80" s="20"/>
      <c r="Q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5">
      <c r="A81" s="14">
        <f t="shared" si="12"/>
        <v>69</v>
      </c>
      <c r="B81" s="14">
        <v>21</v>
      </c>
      <c r="C81" s="22" t="s">
        <v>146</v>
      </c>
      <c r="D81" s="20"/>
      <c r="E81" s="20">
        <v>1982</v>
      </c>
      <c r="F81" s="23" t="str">
        <f t="shared" ref="F81:G81" si="22">IF(ISBLANK(D81),"",2025-D81)</f>
        <v/>
      </c>
      <c r="G81" s="20">
        <f t="shared" si="22"/>
        <v>43</v>
      </c>
      <c r="H81" s="20"/>
      <c r="I81" s="20"/>
      <c r="J81" s="14">
        <v>1</v>
      </c>
      <c r="K81" s="24"/>
      <c r="L81" s="24"/>
      <c r="M81" s="24"/>
      <c r="N81" s="20" t="s">
        <v>142</v>
      </c>
      <c r="O81" s="42" t="s">
        <v>134</v>
      </c>
      <c r="P81" s="20"/>
      <c r="Q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30">
      <c r="A82" s="14" t="str">
        <f t="shared" si="12"/>
        <v/>
      </c>
      <c r="B82" s="14"/>
      <c r="C82" s="27" t="s">
        <v>147</v>
      </c>
      <c r="D82" s="18"/>
      <c r="E82" s="18"/>
      <c r="F82" s="23" t="str">
        <f t="shared" ref="F82:G82" si="23">IF(ISBLANK(D82),"",2025-D82)</f>
        <v/>
      </c>
      <c r="G82" s="20" t="str">
        <f t="shared" si="23"/>
        <v/>
      </c>
      <c r="H82" s="27"/>
      <c r="I82" s="27"/>
      <c r="J82" s="27"/>
      <c r="K82" s="27"/>
      <c r="L82" s="27"/>
      <c r="M82" s="27"/>
      <c r="N82" s="27"/>
      <c r="O82" s="35"/>
      <c r="P82" s="20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5">
      <c r="A83" s="14">
        <f t="shared" si="12"/>
        <v>70</v>
      </c>
      <c r="B83" s="14">
        <v>1</v>
      </c>
      <c r="C83" s="22" t="s">
        <v>148</v>
      </c>
      <c r="D83" s="20"/>
      <c r="E83" s="20">
        <v>1978</v>
      </c>
      <c r="F83" s="23" t="str">
        <f t="shared" ref="F83:G83" si="24">IF(ISBLANK(D83),"",2025-D83)</f>
        <v/>
      </c>
      <c r="G83" s="20">
        <f t="shared" si="24"/>
        <v>47</v>
      </c>
      <c r="H83" s="20" t="s">
        <v>117</v>
      </c>
      <c r="I83" s="20"/>
      <c r="J83" s="14">
        <v>1</v>
      </c>
      <c r="K83" s="24"/>
      <c r="L83" s="24"/>
      <c r="M83" s="24"/>
      <c r="N83" s="36" t="s">
        <v>58</v>
      </c>
      <c r="O83" s="34" t="s">
        <v>64</v>
      </c>
      <c r="P83" s="20"/>
      <c r="Q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5">
      <c r="A84" s="14">
        <f t="shared" si="12"/>
        <v>71</v>
      </c>
      <c r="B84" s="14">
        <v>2</v>
      </c>
      <c r="C84" s="22" t="s">
        <v>149</v>
      </c>
      <c r="D84" s="20"/>
      <c r="E84" s="20">
        <v>1995</v>
      </c>
      <c r="F84" s="23" t="str">
        <f t="shared" ref="F84:G84" si="25">IF(ISBLANK(D84),"",2025-D84)</f>
        <v/>
      </c>
      <c r="G84" s="20">
        <f t="shared" si="25"/>
        <v>30</v>
      </c>
      <c r="H84" s="20"/>
      <c r="I84" s="20"/>
      <c r="J84" s="14">
        <v>1</v>
      </c>
      <c r="K84" s="24"/>
      <c r="L84" s="24"/>
      <c r="M84" s="24"/>
      <c r="N84" s="36" t="s">
        <v>58</v>
      </c>
      <c r="O84" s="34" t="s">
        <v>64</v>
      </c>
      <c r="P84" s="20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5">
      <c r="A85" s="14">
        <f t="shared" si="12"/>
        <v>72</v>
      </c>
      <c r="B85" s="14">
        <v>3</v>
      </c>
      <c r="C85" s="22" t="s">
        <v>150</v>
      </c>
      <c r="D85" s="20"/>
      <c r="E85" s="20">
        <v>1989</v>
      </c>
      <c r="F85" s="23" t="str">
        <f t="shared" ref="F85:G85" si="26">IF(ISBLANK(D85),"",2025-D85)</f>
        <v/>
      </c>
      <c r="G85" s="20">
        <f t="shared" si="26"/>
        <v>36</v>
      </c>
      <c r="H85" s="20"/>
      <c r="I85" s="20"/>
      <c r="J85" s="14">
        <v>1</v>
      </c>
      <c r="K85" s="24"/>
      <c r="L85" s="24"/>
      <c r="M85" s="24"/>
      <c r="N85" s="36" t="s">
        <v>58</v>
      </c>
      <c r="O85" s="34" t="s">
        <v>64</v>
      </c>
      <c r="P85" s="20"/>
      <c r="Q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25.5">
      <c r="A86" s="14">
        <f t="shared" si="12"/>
        <v>73</v>
      </c>
      <c r="B86" s="14">
        <v>4</v>
      </c>
      <c r="C86" s="22" t="s">
        <v>151</v>
      </c>
      <c r="D86" s="20"/>
      <c r="E86" s="20">
        <v>1987</v>
      </c>
      <c r="F86" s="23" t="str">
        <f t="shared" ref="F86:G86" si="27">IF(ISBLANK(D86),"",2025-D86)</f>
        <v/>
      </c>
      <c r="G86" s="20">
        <f t="shared" si="27"/>
        <v>38</v>
      </c>
      <c r="H86" s="20"/>
      <c r="I86" s="20"/>
      <c r="J86" s="14">
        <v>1</v>
      </c>
      <c r="K86" s="24"/>
      <c r="L86" s="24"/>
      <c r="M86" s="24"/>
      <c r="N86" s="20" t="s">
        <v>72</v>
      </c>
      <c r="O86" s="34" t="s">
        <v>59</v>
      </c>
      <c r="P86" s="20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25.5">
      <c r="A87" s="14">
        <f t="shared" si="12"/>
        <v>74</v>
      </c>
      <c r="B87" s="14">
        <v>5</v>
      </c>
      <c r="C87" s="22" t="s">
        <v>152</v>
      </c>
      <c r="D87" s="20"/>
      <c r="E87" s="20">
        <v>1992</v>
      </c>
      <c r="F87" s="23" t="str">
        <f t="shared" ref="F87:G87" si="28">IF(ISBLANK(D87),"",2025-D87)</f>
        <v/>
      </c>
      <c r="G87" s="20">
        <f t="shared" si="28"/>
        <v>33</v>
      </c>
      <c r="H87" s="20"/>
      <c r="I87" s="20"/>
      <c r="J87" s="14">
        <v>1</v>
      </c>
      <c r="K87" s="24"/>
      <c r="L87" s="24"/>
      <c r="M87" s="24"/>
      <c r="N87" s="20" t="s">
        <v>72</v>
      </c>
      <c r="O87" s="34" t="s">
        <v>59</v>
      </c>
      <c r="P87" s="20"/>
      <c r="Q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5">
      <c r="A88" s="14">
        <f t="shared" si="12"/>
        <v>75</v>
      </c>
      <c r="B88" s="14">
        <v>6</v>
      </c>
      <c r="C88" s="22" t="s">
        <v>153</v>
      </c>
      <c r="D88" s="20"/>
      <c r="E88" s="20">
        <v>1964</v>
      </c>
      <c r="F88" s="23" t="str">
        <f t="shared" ref="F88:G88" si="29">IF(ISBLANK(D88),"",2025-D88)</f>
        <v/>
      </c>
      <c r="G88" s="20">
        <f t="shared" si="29"/>
        <v>61</v>
      </c>
      <c r="H88" s="20"/>
      <c r="I88" s="20"/>
      <c r="J88" s="14"/>
      <c r="K88" s="24"/>
      <c r="L88" s="24"/>
      <c r="M88" s="24">
        <v>1</v>
      </c>
      <c r="N88" s="20" t="s">
        <v>154</v>
      </c>
      <c r="O88" s="33" t="s">
        <v>154</v>
      </c>
      <c r="P88" s="20"/>
      <c r="Q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5">
      <c r="A89" s="14">
        <f t="shared" si="12"/>
        <v>76</v>
      </c>
      <c r="B89" s="14">
        <v>7</v>
      </c>
      <c r="C89" s="22" t="s">
        <v>155</v>
      </c>
      <c r="D89" s="20"/>
      <c r="E89" s="20">
        <v>1960</v>
      </c>
      <c r="F89" s="23" t="str">
        <f t="shared" ref="F89:G89" si="30">IF(ISBLANK(D89),"",2025-D89)</f>
        <v/>
      </c>
      <c r="G89" s="20">
        <f t="shared" si="30"/>
        <v>65</v>
      </c>
      <c r="H89" s="20"/>
      <c r="J89" s="14"/>
      <c r="K89" s="24"/>
      <c r="L89" s="24"/>
      <c r="M89" s="24">
        <v>1</v>
      </c>
      <c r="N89" s="20" t="s">
        <v>154</v>
      </c>
      <c r="O89" s="33" t="s">
        <v>154</v>
      </c>
      <c r="P89" s="20"/>
      <c r="Q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5">
      <c r="A90" s="14">
        <f t="shared" si="12"/>
        <v>77</v>
      </c>
      <c r="B90" s="14">
        <v>8</v>
      </c>
      <c r="C90" s="22" t="s">
        <v>156</v>
      </c>
      <c r="D90" s="20"/>
      <c r="E90" s="20">
        <v>1974</v>
      </c>
      <c r="F90" s="23" t="str">
        <f t="shared" ref="F90:G90" si="31">IF(ISBLANK(D90),"",2025-D90)</f>
        <v/>
      </c>
      <c r="G90" s="20">
        <f t="shared" si="31"/>
        <v>51</v>
      </c>
      <c r="H90" s="20"/>
      <c r="I90" s="20"/>
      <c r="J90" s="14"/>
      <c r="K90" s="24">
        <v>1</v>
      </c>
      <c r="L90" s="24"/>
      <c r="M90" s="24"/>
      <c r="N90" s="20" t="s">
        <v>154</v>
      </c>
      <c r="O90" s="33" t="s">
        <v>154</v>
      </c>
      <c r="P90" s="20"/>
      <c r="Q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5">
      <c r="A91" s="14">
        <f t="shared" si="12"/>
        <v>78</v>
      </c>
      <c r="B91" s="14">
        <v>9</v>
      </c>
      <c r="C91" s="22" t="s">
        <v>157</v>
      </c>
      <c r="D91" s="20"/>
      <c r="E91" s="20">
        <v>1982</v>
      </c>
      <c r="F91" s="23" t="str">
        <f t="shared" ref="F91:G91" si="32">IF(ISBLANK(D91),"",2025-D91)</f>
        <v/>
      </c>
      <c r="G91" s="20">
        <f t="shared" si="32"/>
        <v>43</v>
      </c>
      <c r="H91" s="20"/>
      <c r="I91" s="20"/>
      <c r="J91" s="14"/>
      <c r="K91" s="24">
        <v>1</v>
      </c>
      <c r="L91" s="24"/>
      <c r="M91" s="24"/>
      <c r="N91" s="20" t="s">
        <v>154</v>
      </c>
      <c r="O91" s="33" t="s">
        <v>154</v>
      </c>
      <c r="P91" s="20"/>
      <c r="Q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5">
      <c r="A92" s="14">
        <f t="shared" si="12"/>
        <v>79</v>
      </c>
      <c r="B92" s="14">
        <v>10</v>
      </c>
      <c r="C92" s="22" t="s">
        <v>158</v>
      </c>
      <c r="D92" s="20"/>
      <c r="E92" s="20">
        <v>1975</v>
      </c>
      <c r="F92" s="23" t="str">
        <f t="shared" ref="F92:G92" si="33">IF(ISBLANK(D92),"",2025-D92)</f>
        <v/>
      </c>
      <c r="G92" s="20">
        <f t="shared" si="33"/>
        <v>50</v>
      </c>
      <c r="H92" s="20"/>
      <c r="I92" s="20"/>
      <c r="J92" s="14"/>
      <c r="K92" s="24">
        <v>1</v>
      </c>
      <c r="L92" s="24"/>
      <c r="M92" s="24"/>
      <c r="N92" s="20" t="s">
        <v>154</v>
      </c>
      <c r="O92" s="33" t="s">
        <v>154</v>
      </c>
      <c r="P92" s="20"/>
      <c r="Q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23.25" customHeight="1">
      <c r="A93" s="14" t="str">
        <f t="shared" si="12"/>
        <v/>
      </c>
      <c r="B93" s="14"/>
      <c r="C93" s="27" t="s">
        <v>159</v>
      </c>
      <c r="D93" s="18"/>
      <c r="E93" s="18"/>
      <c r="F93" s="23" t="str">
        <f t="shared" ref="F93:G93" si="34">IF(ISBLANK(D93),"",2025-D93)</f>
        <v/>
      </c>
      <c r="G93" s="20" t="str">
        <f t="shared" si="34"/>
        <v/>
      </c>
      <c r="H93" s="27"/>
      <c r="I93" s="27"/>
      <c r="J93" s="27"/>
      <c r="K93" s="27"/>
      <c r="L93" s="27"/>
      <c r="M93" s="27"/>
      <c r="N93" s="27"/>
      <c r="O93" s="35"/>
      <c r="P93" s="20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38.25">
      <c r="A94" s="14">
        <f t="shared" si="12"/>
        <v>80</v>
      </c>
      <c r="B94" s="14">
        <v>1</v>
      </c>
      <c r="C94" s="22" t="s">
        <v>160</v>
      </c>
      <c r="D94" s="20"/>
      <c r="E94" s="20">
        <v>1992</v>
      </c>
      <c r="F94" s="23" t="str">
        <f t="shared" ref="F94:G94" si="35">IF(ISBLANK(D94),"",2025-D94)</f>
        <v/>
      </c>
      <c r="G94" s="20">
        <f t="shared" si="35"/>
        <v>33</v>
      </c>
      <c r="H94" s="21" t="s">
        <v>117</v>
      </c>
      <c r="I94" s="21"/>
      <c r="J94" s="14">
        <v>1</v>
      </c>
      <c r="K94" s="24"/>
      <c r="L94" s="24"/>
      <c r="M94" s="24"/>
      <c r="N94" s="25" t="s">
        <v>161</v>
      </c>
      <c r="O94" s="26" t="s">
        <v>79</v>
      </c>
      <c r="P94" s="20"/>
      <c r="Q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5">
      <c r="A95" s="14">
        <f t="shared" si="12"/>
        <v>81</v>
      </c>
      <c r="B95" s="14">
        <v>2</v>
      </c>
      <c r="C95" s="22" t="s">
        <v>162</v>
      </c>
      <c r="D95" s="20"/>
      <c r="E95" s="20">
        <v>1999</v>
      </c>
      <c r="F95" s="23" t="str">
        <f t="shared" ref="F95:G95" si="36">IF(ISBLANK(D95),"",2025-D95)</f>
        <v/>
      </c>
      <c r="G95" s="20">
        <f t="shared" si="36"/>
        <v>26</v>
      </c>
      <c r="H95" s="21"/>
      <c r="I95" s="21"/>
      <c r="J95" s="14">
        <v>1</v>
      </c>
      <c r="K95" s="24"/>
      <c r="L95" s="24"/>
      <c r="M95" s="24"/>
      <c r="N95" s="25" t="s">
        <v>163</v>
      </c>
      <c r="O95" s="26" t="s">
        <v>79</v>
      </c>
      <c r="P95" s="20"/>
      <c r="Q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38.25">
      <c r="A96" s="14">
        <f t="shared" si="12"/>
        <v>82</v>
      </c>
      <c r="B96" s="14">
        <v>3</v>
      </c>
      <c r="C96" s="22" t="s">
        <v>158</v>
      </c>
      <c r="D96" s="20"/>
      <c r="E96" s="20">
        <v>1994</v>
      </c>
      <c r="F96" s="23" t="str">
        <f t="shared" ref="F96:G96" si="37">IF(ISBLANK(D96),"",2025-D96)</f>
        <v/>
      </c>
      <c r="G96" s="20">
        <f t="shared" si="37"/>
        <v>31</v>
      </c>
      <c r="H96" s="20"/>
      <c r="I96" s="20"/>
      <c r="J96" s="14">
        <v>1</v>
      </c>
      <c r="K96" s="24"/>
      <c r="L96" s="24"/>
      <c r="M96" s="24"/>
      <c r="N96" s="44" t="s">
        <v>164</v>
      </c>
      <c r="O96" s="32" t="s">
        <v>165</v>
      </c>
      <c r="P96" s="20"/>
      <c r="Q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38.25">
      <c r="A97" s="14">
        <f t="shared" si="12"/>
        <v>83</v>
      </c>
      <c r="B97" s="14">
        <v>4</v>
      </c>
      <c r="C97" s="22" t="s">
        <v>166</v>
      </c>
      <c r="D97" s="20"/>
      <c r="E97" s="20">
        <v>1991</v>
      </c>
      <c r="F97" s="23" t="str">
        <f t="shared" ref="F97:G97" si="38">IF(ISBLANK(D97),"",2025-D97)</f>
        <v/>
      </c>
      <c r="G97" s="20">
        <f t="shared" si="38"/>
        <v>34</v>
      </c>
      <c r="H97" s="20"/>
      <c r="I97" s="20"/>
      <c r="J97" s="14">
        <v>1</v>
      </c>
      <c r="K97" s="24"/>
      <c r="L97" s="24"/>
      <c r="M97" s="24"/>
      <c r="N97" s="44" t="s">
        <v>164</v>
      </c>
      <c r="O97" s="32" t="s">
        <v>165</v>
      </c>
      <c r="P97" s="20"/>
      <c r="Q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38.25">
      <c r="A98" s="14">
        <f t="shared" si="12"/>
        <v>84</v>
      </c>
      <c r="B98" s="14">
        <v>5</v>
      </c>
      <c r="C98" s="22" t="s">
        <v>167</v>
      </c>
      <c r="D98" s="20">
        <v>1998</v>
      </c>
      <c r="E98" s="20"/>
      <c r="F98" s="23">
        <f t="shared" ref="F98:G98" si="39">IF(ISBLANK(D98),"",2025-D98)</f>
        <v>27</v>
      </c>
      <c r="G98" s="20" t="str">
        <f t="shared" si="39"/>
        <v/>
      </c>
      <c r="H98" s="20"/>
      <c r="I98" s="20"/>
      <c r="J98" s="14">
        <v>1</v>
      </c>
      <c r="K98" s="24"/>
      <c r="L98" s="24"/>
      <c r="M98" s="24"/>
      <c r="N98" s="44" t="s">
        <v>164</v>
      </c>
      <c r="O98" s="32" t="s">
        <v>165</v>
      </c>
      <c r="P98" s="20"/>
      <c r="Q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38.25">
      <c r="A99" s="14">
        <f t="shared" si="12"/>
        <v>85</v>
      </c>
      <c r="B99" s="14">
        <v>6</v>
      </c>
      <c r="C99" s="22" t="s">
        <v>168</v>
      </c>
      <c r="D99" s="20"/>
      <c r="E99" s="20">
        <v>1999</v>
      </c>
      <c r="F99" s="23" t="str">
        <f t="shared" ref="F99:G99" si="40">IF(ISBLANK(D99),"",2025-D99)</f>
        <v/>
      </c>
      <c r="G99" s="20">
        <f t="shared" si="40"/>
        <v>26</v>
      </c>
      <c r="H99" s="20"/>
      <c r="I99" s="20"/>
      <c r="J99" s="14">
        <v>1</v>
      </c>
      <c r="K99" s="24"/>
      <c r="L99" s="24"/>
      <c r="M99" s="24"/>
      <c r="N99" s="44" t="s">
        <v>164</v>
      </c>
      <c r="O99" s="32" t="s">
        <v>165</v>
      </c>
      <c r="P99" s="20"/>
      <c r="Q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38.25">
      <c r="A100" s="14">
        <f t="shared" si="12"/>
        <v>86</v>
      </c>
      <c r="B100" s="14">
        <v>7</v>
      </c>
      <c r="C100" s="22" t="s">
        <v>169</v>
      </c>
      <c r="D100" s="20"/>
      <c r="E100" s="20">
        <v>2001</v>
      </c>
      <c r="F100" s="23" t="str">
        <f t="shared" ref="F100:G100" si="41">IF(ISBLANK(D100),"",2025-D100)</f>
        <v/>
      </c>
      <c r="G100" s="20">
        <f t="shared" si="41"/>
        <v>24</v>
      </c>
      <c r="H100" s="20"/>
      <c r="I100" s="20"/>
      <c r="J100" s="14">
        <v>1</v>
      </c>
      <c r="K100" s="24"/>
      <c r="L100" s="24"/>
      <c r="M100" s="24"/>
      <c r="N100" s="44" t="s">
        <v>164</v>
      </c>
      <c r="O100" s="32" t="s">
        <v>165</v>
      </c>
      <c r="P100" s="20"/>
      <c r="Q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38.25">
      <c r="A101" s="14">
        <f t="shared" si="12"/>
        <v>87</v>
      </c>
      <c r="B101" s="14">
        <v>8</v>
      </c>
      <c r="C101" s="22" t="s">
        <v>170</v>
      </c>
      <c r="D101" s="20"/>
      <c r="E101" s="20">
        <v>2001</v>
      </c>
      <c r="F101" s="23" t="str">
        <f t="shared" ref="F101:G101" si="42">IF(ISBLANK(D101),"",2025-D101)</f>
        <v/>
      </c>
      <c r="G101" s="20">
        <f t="shared" si="42"/>
        <v>24</v>
      </c>
      <c r="H101" s="20"/>
      <c r="I101" s="20"/>
      <c r="J101" s="14">
        <v>1</v>
      </c>
      <c r="K101" s="24"/>
      <c r="L101" s="24"/>
      <c r="M101" s="24"/>
      <c r="N101" s="44" t="s">
        <v>164</v>
      </c>
      <c r="O101" s="32" t="s">
        <v>165</v>
      </c>
      <c r="P101" s="20"/>
      <c r="Q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38.25">
      <c r="A102" s="14">
        <f t="shared" si="12"/>
        <v>88</v>
      </c>
      <c r="B102" s="14">
        <v>9</v>
      </c>
      <c r="C102" s="22" t="s">
        <v>171</v>
      </c>
      <c r="E102" s="20">
        <v>1988</v>
      </c>
      <c r="F102" s="23"/>
      <c r="G102" s="20">
        <f>IF(ISBLANK(E102),"",2025-E102)</f>
        <v>37</v>
      </c>
      <c r="H102" s="20"/>
      <c r="I102" s="20"/>
      <c r="J102" s="14">
        <v>1</v>
      </c>
      <c r="K102" s="24"/>
      <c r="L102" s="24"/>
      <c r="M102" s="24"/>
      <c r="N102" s="20" t="s">
        <v>164</v>
      </c>
      <c r="O102" s="32" t="s">
        <v>52</v>
      </c>
      <c r="P102" s="20"/>
      <c r="Q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38.25">
      <c r="A103" s="14">
        <f t="shared" si="12"/>
        <v>89</v>
      </c>
      <c r="B103" s="14">
        <v>10</v>
      </c>
      <c r="C103" s="22" t="s">
        <v>172</v>
      </c>
      <c r="D103" s="20">
        <v>1989</v>
      </c>
      <c r="E103" s="20"/>
      <c r="F103" s="23">
        <f t="shared" ref="F103:G103" si="43">IF(ISBLANK(D103),"",2025-D103)</f>
        <v>36</v>
      </c>
      <c r="G103" s="20" t="str">
        <f t="shared" si="43"/>
        <v/>
      </c>
      <c r="H103" s="20" t="s">
        <v>121</v>
      </c>
      <c r="I103" s="20"/>
      <c r="J103" s="14">
        <v>1</v>
      </c>
      <c r="K103" s="24"/>
      <c r="L103" s="24"/>
      <c r="M103" s="24"/>
      <c r="N103" s="25" t="s">
        <v>173</v>
      </c>
      <c r="O103" s="32" t="s">
        <v>165</v>
      </c>
      <c r="P103" s="20"/>
      <c r="Q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38.25">
      <c r="A104" s="14">
        <f t="shared" si="12"/>
        <v>90</v>
      </c>
      <c r="B104" s="14">
        <v>11</v>
      </c>
      <c r="C104" s="22" t="s">
        <v>174</v>
      </c>
      <c r="D104" s="20"/>
      <c r="E104" s="20">
        <v>1993</v>
      </c>
      <c r="F104" s="23" t="str">
        <f t="shared" ref="F104:G104" si="44">IF(ISBLANK(D104),"",2025-D104)</f>
        <v/>
      </c>
      <c r="G104" s="20">
        <f t="shared" si="44"/>
        <v>32</v>
      </c>
      <c r="H104" s="20"/>
      <c r="I104" s="20"/>
      <c r="J104" s="14">
        <v>1</v>
      </c>
      <c r="K104" s="24"/>
      <c r="L104" s="24"/>
      <c r="M104" s="24"/>
      <c r="N104" s="20" t="s">
        <v>164</v>
      </c>
      <c r="O104" s="32" t="s">
        <v>52</v>
      </c>
      <c r="P104" s="20"/>
      <c r="Q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38.25">
      <c r="A105" s="14">
        <f t="shared" si="12"/>
        <v>91</v>
      </c>
      <c r="B105" s="14">
        <v>12</v>
      </c>
      <c r="C105" s="22" t="s">
        <v>175</v>
      </c>
      <c r="D105" s="20"/>
      <c r="E105" s="20">
        <v>1982</v>
      </c>
      <c r="F105" s="23" t="str">
        <f t="shared" ref="F105:G105" si="45">IF(ISBLANK(D105),"",2025-D105)</f>
        <v/>
      </c>
      <c r="G105" s="20">
        <f t="shared" si="45"/>
        <v>43</v>
      </c>
      <c r="H105" s="20"/>
      <c r="I105" s="20"/>
      <c r="J105" s="14">
        <v>1</v>
      </c>
      <c r="K105" s="24"/>
      <c r="L105" s="24"/>
      <c r="M105" s="24"/>
      <c r="N105" s="20" t="s">
        <v>164</v>
      </c>
      <c r="O105" s="32" t="s">
        <v>52</v>
      </c>
      <c r="P105" s="20"/>
      <c r="Q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38.25">
      <c r="A106" s="14">
        <f t="shared" si="12"/>
        <v>92</v>
      </c>
      <c r="B106" s="14">
        <v>13</v>
      </c>
      <c r="C106" s="22" t="s">
        <v>176</v>
      </c>
      <c r="D106" s="20"/>
      <c r="E106" s="20">
        <v>1989</v>
      </c>
      <c r="F106" s="23" t="str">
        <f t="shared" ref="F106:G106" si="46">IF(ISBLANK(D106),"",2025-D106)</f>
        <v/>
      </c>
      <c r="G106" s="20">
        <f t="shared" si="46"/>
        <v>36</v>
      </c>
      <c r="H106" s="20"/>
      <c r="I106" s="20"/>
      <c r="J106" s="14">
        <v>1</v>
      </c>
      <c r="K106" s="24"/>
      <c r="L106" s="24"/>
      <c r="M106" s="24"/>
      <c r="N106" s="20" t="s">
        <v>164</v>
      </c>
      <c r="O106" s="32" t="s">
        <v>52</v>
      </c>
      <c r="P106" s="20"/>
      <c r="Q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25.5">
      <c r="A107" s="14">
        <f t="shared" si="12"/>
        <v>93</v>
      </c>
      <c r="B107" s="14">
        <v>14</v>
      </c>
      <c r="C107" s="22" t="s">
        <v>177</v>
      </c>
      <c r="D107" s="20"/>
      <c r="E107" s="20">
        <v>1986</v>
      </c>
      <c r="F107" s="23" t="str">
        <f t="shared" ref="F107:G107" si="47">IF(ISBLANK(D107),"",2025-D107)</f>
        <v/>
      </c>
      <c r="G107" s="20">
        <f t="shared" si="47"/>
        <v>39</v>
      </c>
      <c r="H107" s="20"/>
      <c r="I107" s="20"/>
      <c r="J107" s="14">
        <v>1</v>
      </c>
      <c r="K107" s="24"/>
      <c r="L107" s="24"/>
      <c r="M107" s="24"/>
      <c r="N107" s="20" t="s">
        <v>178</v>
      </c>
      <c r="O107" s="32" t="s">
        <v>52</v>
      </c>
      <c r="P107" s="20"/>
      <c r="Q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25.5">
      <c r="A108" s="14">
        <f t="shared" si="12"/>
        <v>94</v>
      </c>
      <c r="B108" s="14">
        <v>15</v>
      </c>
      <c r="C108" s="22" t="s">
        <v>179</v>
      </c>
      <c r="D108" s="20"/>
      <c r="E108" s="20">
        <v>1970</v>
      </c>
      <c r="F108" s="23" t="str">
        <f t="shared" ref="F108:G108" si="48">IF(ISBLANK(D108),"",2025-D108)</f>
        <v/>
      </c>
      <c r="G108" s="20">
        <f t="shared" si="48"/>
        <v>55</v>
      </c>
      <c r="H108" s="20"/>
      <c r="I108" s="20"/>
      <c r="J108" s="14">
        <v>1</v>
      </c>
      <c r="K108" s="24"/>
      <c r="L108" s="24"/>
      <c r="M108" s="24"/>
      <c r="N108" s="20" t="s">
        <v>178</v>
      </c>
      <c r="O108" s="32" t="s">
        <v>52</v>
      </c>
      <c r="P108" s="20"/>
      <c r="Q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30">
      <c r="A109" s="14" t="str">
        <f t="shared" si="12"/>
        <v/>
      </c>
      <c r="B109" s="14"/>
      <c r="C109" s="27" t="s">
        <v>180</v>
      </c>
      <c r="D109" s="18"/>
      <c r="E109" s="18"/>
      <c r="F109" s="23" t="str">
        <f t="shared" ref="F109:G109" si="49">IF(ISBLANK(D109),"",2025-D109)</f>
        <v/>
      </c>
      <c r="G109" s="20" t="str">
        <f t="shared" si="49"/>
        <v/>
      </c>
      <c r="H109" s="27"/>
      <c r="I109" s="27"/>
      <c r="J109" s="27"/>
      <c r="K109" s="27"/>
      <c r="L109" s="27"/>
      <c r="M109" s="27"/>
      <c r="N109" s="27"/>
      <c r="O109" s="35"/>
      <c r="P109" s="20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51">
      <c r="A110" s="14">
        <f t="shared" si="12"/>
        <v>95</v>
      </c>
      <c r="B110" s="14">
        <v>1</v>
      </c>
      <c r="C110" s="45" t="s">
        <v>181</v>
      </c>
      <c r="D110" s="20"/>
      <c r="E110" s="20">
        <v>1980</v>
      </c>
      <c r="F110" s="23" t="str">
        <f t="shared" ref="F110:G110" si="50">IF(ISBLANK(D110),"",2025-D110)</f>
        <v/>
      </c>
      <c r="G110" s="20">
        <f t="shared" si="50"/>
        <v>45</v>
      </c>
      <c r="H110" s="20" t="s">
        <v>117</v>
      </c>
      <c r="I110" s="20"/>
      <c r="J110" s="14">
        <v>1</v>
      </c>
      <c r="K110" s="24"/>
      <c r="L110" s="24"/>
      <c r="M110" s="24"/>
      <c r="N110" s="25" t="s">
        <v>182</v>
      </c>
      <c r="O110" s="26" t="s">
        <v>26</v>
      </c>
      <c r="P110" s="20"/>
      <c r="Q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51">
      <c r="A111" s="14">
        <f t="shared" si="12"/>
        <v>96</v>
      </c>
      <c r="B111" s="14">
        <v>2</v>
      </c>
      <c r="C111" s="45" t="s">
        <v>183</v>
      </c>
      <c r="D111" s="20">
        <v>1990</v>
      </c>
      <c r="E111" s="20"/>
      <c r="F111" s="23">
        <f t="shared" ref="F111:G111" si="51">IF(ISBLANK(D111),"",2025-D111)</f>
        <v>35</v>
      </c>
      <c r="G111" s="20" t="str">
        <f t="shared" si="51"/>
        <v/>
      </c>
      <c r="H111" s="20" t="s">
        <v>121</v>
      </c>
      <c r="I111" s="20"/>
      <c r="J111" s="14">
        <v>1</v>
      </c>
      <c r="K111" s="24"/>
      <c r="L111" s="24"/>
      <c r="M111" s="24"/>
      <c r="N111" s="25" t="s">
        <v>182</v>
      </c>
      <c r="O111" s="26" t="s">
        <v>79</v>
      </c>
      <c r="P111" s="20"/>
      <c r="Q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5">
      <c r="A112" s="14">
        <f t="shared" si="12"/>
        <v>97</v>
      </c>
      <c r="B112" s="46">
        <v>3</v>
      </c>
      <c r="C112" s="47" t="s">
        <v>184</v>
      </c>
      <c r="D112" s="48">
        <v>1967</v>
      </c>
      <c r="E112" s="48"/>
      <c r="F112" s="49">
        <f t="shared" ref="F112:G112" si="52">IF(ISBLANK(D112),"",2025-D112)</f>
        <v>58</v>
      </c>
      <c r="G112" s="48" t="str">
        <f t="shared" si="52"/>
        <v/>
      </c>
      <c r="H112" s="48"/>
      <c r="I112" s="48"/>
      <c r="J112" s="46"/>
      <c r="K112" s="50"/>
      <c r="L112" s="50"/>
      <c r="M112" s="50">
        <v>1</v>
      </c>
      <c r="N112" s="48" t="s">
        <v>163</v>
      </c>
      <c r="O112" s="51" t="s">
        <v>79</v>
      </c>
      <c r="P112" s="48"/>
      <c r="Q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51">
      <c r="A113" s="14">
        <f t="shared" si="12"/>
        <v>98</v>
      </c>
      <c r="B113" s="14">
        <v>4</v>
      </c>
      <c r="C113" s="45" t="s">
        <v>185</v>
      </c>
      <c r="D113" s="20">
        <v>1967</v>
      </c>
      <c r="E113" s="20"/>
      <c r="F113" s="23">
        <f t="shared" ref="F113:G113" si="53">IF(ISBLANK(D113),"",2025-D113)</f>
        <v>58</v>
      </c>
      <c r="G113" s="20" t="str">
        <f t="shared" si="53"/>
        <v/>
      </c>
      <c r="H113" s="20"/>
      <c r="I113" s="20"/>
      <c r="J113" s="14">
        <v>1</v>
      </c>
      <c r="K113" s="24"/>
      <c r="L113" s="24"/>
      <c r="M113" s="24"/>
      <c r="N113" s="25" t="s">
        <v>186</v>
      </c>
      <c r="O113" s="26" t="s">
        <v>79</v>
      </c>
      <c r="P113" s="20"/>
      <c r="Q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5">
      <c r="A114" s="14">
        <f t="shared" si="12"/>
        <v>99</v>
      </c>
      <c r="B114" s="14">
        <v>5</v>
      </c>
      <c r="C114" s="45" t="s">
        <v>187</v>
      </c>
      <c r="D114" s="20">
        <v>1999</v>
      </c>
      <c r="E114" s="20"/>
      <c r="F114" s="23">
        <f t="shared" ref="F114:G114" si="54">IF(ISBLANK(D114),"",2025-D114)</f>
        <v>26</v>
      </c>
      <c r="G114" s="20" t="str">
        <f t="shared" si="54"/>
        <v/>
      </c>
      <c r="H114" s="20"/>
      <c r="I114" s="20"/>
      <c r="J114" s="14">
        <v>1</v>
      </c>
      <c r="K114" s="24"/>
      <c r="L114" s="24"/>
      <c r="M114" s="24"/>
      <c r="N114" s="20" t="s">
        <v>163</v>
      </c>
      <c r="O114" s="26" t="s">
        <v>79</v>
      </c>
      <c r="P114" s="20"/>
      <c r="Q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5">
      <c r="A115" s="14">
        <f t="shared" si="12"/>
        <v>100</v>
      </c>
      <c r="B115" s="14">
        <v>6</v>
      </c>
      <c r="C115" s="45" t="s">
        <v>188</v>
      </c>
      <c r="D115" s="20"/>
      <c r="E115" s="20">
        <v>1998</v>
      </c>
      <c r="F115" s="23" t="str">
        <f t="shared" ref="F115:G115" si="55">IF(ISBLANK(D115),"",2025-D115)</f>
        <v/>
      </c>
      <c r="G115" s="20">
        <f t="shared" si="55"/>
        <v>27</v>
      </c>
      <c r="H115" s="20"/>
      <c r="I115" s="20"/>
      <c r="J115" s="14">
        <v>1</v>
      </c>
      <c r="K115" s="24"/>
      <c r="L115" s="24"/>
      <c r="M115" s="24"/>
      <c r="N115" s="20" t="s">
        <v>163</v>
      </c>
      <c r="O115" s="26" t="s">
        <v>79</v>
      </c>
      <c r="P115" s="20"/>
      <c r="Q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5">
      <c r="A116" s="14">
        <f t="shared" si="12"/>
        <v>101</v>
      </c>
      <c r="B116" s="14">
        <v>7</v>
      </c>
      <c r="C116" s="45" t="s">
        <v>189</v>
      </c>
      <c r="D116" s="20">
        <v>1999</v>
      </c>
      <c r="E116" s="20"/>
      <c r="F116" s="23">
        <f t="shared" ref="F116:G116" si="56">IF(ISBLANK(D116),"",2025-D116)</f>
        <v>26</v>
      </c>
      <c r="G116" s="20" t="str">
        <f t="shared" si="56"/>
        <v/>
      </c>
      <c r="H116" s="20"/>
      <c r="I116" s="20"/>
      <c r="J116" s="14">
        <v>1</v>
      </c>
      <c r="K116" s="24"/>
      <c r="L116" s="24"/>
      <c r="M116" s="24"/>
      <c r="N116" s="20" t="s">
        <v>163</v>
      </c>
      <c r="O116" s="26" t="s">
        <v>79</v>
      </c>
      <c r="P116" s="20"/>
      <c r="Q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25.5">
      <c r="A117" s="14">
        <f t="shared" si="12"/>
        <v>102</v>
      </c>
      <c r="B117" s="14">
        <v>8</v>
      </c>
      <c r="C117" s="45" t="s">
        <v>190</v>
      </c>
      <c r="D117" s="20"/>
      <c r="E117" s="20">
        <v>1987</v>
      </c>
      <c r="F117" s="23" t="str">
        <f t="shared" ref="F117:G117" si="57">IF(ISBLANK(D117),"",2025-D117)</f>
        <v/>
      </c>
      <c r="G117" s="20">
        <f t="shared" si="57"/>
        <v>38</v>
      </c>
      <c r="H117" s="20"/>
      <c r="I117" s="20"/>
      <c r="J117" s="14">
        <v>1</v>
      </c>
      <c r="K117" s="24"/>
      <c r="L117" s="24"/>
      <c r="M117" s="24"/>
      <c r="N117" s="20" t="s">
        <v>72</v>
      </c>
      <c r="O117" s="34" t="s">
        <v>59</v>
      </c>
      <c r="P117" s="20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25.5">
      <c r="A118" s="14">
        <f t="shared" si="12"/>
        <v>103</v>
      </c>
      <c r="B118" s="14">
        <v>9</v>
      </c>
      <c r="C118" s="45" t="s">
        <v>191</v>
      </c>
      <c r="D118" s="20"/>
      <c r="E118" s="20">
        <v>1985</v>
      </c>
      <c r="F118" s="23" t="str">
        <f t="shared" ref="F118:G118" si="58">IF(ISBLANK(D118),"",2025-D118)</f>
        <v/>
      </c>
      <c r="G118" s="20">
        <f t="shared" si="58"/>
        <v>40</v>
      </c>
      <c r="H118" s="20"/>
      <c r="I118" s="20"/>
      <c r="J118" s="14">
        <v>1</v>
      </c>
      <c r="K118" s="24"/>
      <c r="L118" s="24"/>
      <c r="M118" s="24"/>
      <c r="N118" s="20" t="s">
        <v>72</v>
      </c>
      <c r="O118" s="34" t="s">
        <v>59</v>
      </c>
      <c r="P118" s="20"/>
      <c r="Q118" s="6"/>
      <c r="S118" s="6"/>
      <c r="T118" s="52"/>
      <c r="U118" s="6"/>
      <c r="V118" s="52"/>
      <c r="W118" s="52"/>
      <c r="X118" s="52"/>
      <c r="Y118" s="52"/>
      <c r="Z118" s="52"/>
      <c r="AA118" s="52"/>
    </row>
    <row r="119" spans="1:27" ht="38.25">
      <c r="A119" s="14">
        <f t="shared" si="12"/>
        <v>104</v>
      </c>
      <c r="B119" s="14">
        <v>10</v>
      </c>
      <c r="C119" s="45" t="s">
        <v>192</v>
      </c>
      <c r="D119" s="20"/>
      <c r="E119" s="20">
        <v>1992</v>
      </c>
      <c r="F119" s="23" t="str">
        <f t="shared" ref="F119:G119" si="59">IF(ISBLANK(D119),"",2025-D119)</f>
        <v/>
      </c>
      <c r="G119" s="20">
        <f t="shared" si="59"/>
        <v>33</v>
      </c>
      <c r="H119" s="20"/>
      <c r="I119" s="20"/>
      <c r="J119" s="14">
        <v>1</v>
      </c>
      <c r="K119" s="24"/>
      <c r="L119" s="24"/>
      <c r="M119" s="24"/>
      <c r="N119" s="44" t="s">
        <v>193</v>
      </c>
      <c r="O119" s="32" t="s">
        <v>165</v>
      </c>
      <c r="P119" s="20"/>
      <c r="Q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38.25">
      <c r="A120" s="14">
        <f t="shared" si="12"/>
        <v>105</v>
      </c>
      <c r="B120" s="14">
        <v>11</v>
      </c>
      <c r="C120" s="45" t="s">
        <v>194</v>
      </c>
      <c r="D120" s="20">
        <v>1989</v>
      </c>
      <c r="E120" s="20"/>
      <c r="F120" s="23">
        <f t="shared" ref="F120:G120" si="60">IF(ISBLANK(D120),"",2025-D120)</f>
        <v>36</v>
      </c>
      <c r="G120" s="20" t="str">
        <f t="shared" si="60"/>
        <v/>
      </c>
      <c r="H120" s="20"/>
      <c r="I120" s="20"/>
      <c r="J120" s="14">
        <v>1</v>
      </c>
      <c r="K120" s="24"/>
      <c r="L120" s="24"/>
      <c r="M120" s="24"/>
      <c r="N120" s="20" t="s">
        <v>193</v>
      </c>
      <c r="O120" s="32" t="s">
        <v>52</v>
      </c>
      <c r="P120" s="20"/>
      <c r="Q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38.25">
      <c r="A121" s="14">
        <f t="shared" si="12"/>
        <v>106</v>
      </c>
      <c r="B121" s="14">
        <v>12</v>
      </c>
      <c r="C121" s="45" t="s">
        <v>195</v>
      </c>
      <c r="D121" s="20"/>
      <c r="E121" s="20">
        <v>1997</v>
      </c>
      <c r="F121" s="23" t="str">
        <f t="shared" ref="F121:G121" si="61">IF(ISBLANK(D121),"",2025-D121)</f>
        <v/>
      </c>
      <c r="G121" s="20">
        <f t="shared" si="61"/>
        <v>28</v>
      </c>
      <c r="H121" s="20"/>
      <c r="I121" s="20"/>
      <c r="J121" s="14">
        <v>1</v>
      </c>
      <c r="K121" s="24"/>
      <c r="L121" s="24"/>
      <c r="M121" s="24"/>
      <c r="N121" s="20" t="s">
        <v>196</v>
      </c>
      <c r="O121" s="32" t="s">
        <v>52</v>
      </c>
      <c r="P121" s="20"/>
      <c r="Q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38.25">
      <c r="A122" s="14">
        <f t="shared" si="12"/>
        <v>107</v>
      </c>
      <c r="B122" s="14">
        <v>13</v>
      </c>
      <c r="C122" s="45" t="s">
        <v>197</v>
      </c>
      <c r="D122" s="20">
        <v>1992</v>
      </c>
      <c r="E122" s="20"/>
      <c r="F122" s="23">
        <f t="shared" ref="F122:G122" si="62">IF(ISBLANK(D122),"",2025-D122)</f>
        <v>33</v>
      </c>
      <c r="G122" s="20" t="str">
        <f t="shared" si="62"/>
        <v/>
      </c>
      <c r="H122" s="20"/>
      <c r="I122" s="20"/>
      <c r="J122" s="14">
        <v>1</v>
      </c>
      <c r="K122" s="24"/>
      <c r="L122" s="24"/>
      <c r="M122" s="24"/>
      <c r="N122" s="20" t="s">
        <v>193</v>
      </c>
      <c r="O122" s="32" t="s">
        <v>52</v>
      </c>
      <c r="P122" s="20"/>
      <c r="Q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38.25">
      <c r="A123" s="14">
        <f t="shared" si="12"/>
        <v>108</v>
      </c>
      <c r="B123" s="14">
        <v>14</v>
      </c>
      <c r="C123" s="45" t="s">
        <v>198</v>
      </c>
      <c r="D123" s="20">
        <v>1990</v>
      </c>
      <c r="E123" s="20"/>
      <c r="F123" s="23">
        <f t="shared" ref="F123:G123" si="63">IF(ISBLANK(D123),"",2025-D123)</f>
        <v>35</v>
      </c>
      <c r="G123" s="20" t="str">
        <f t="shared" si="63"/>
        <v/>
      </c>
      <c r="H123" s="20" t="s">
        <v>199</v>
      </c>
      <c r="I123" s="20"/>
      <c r="J123" s="14">
        <v>1</v>
      </c>
      <c r="K123" s="24"/>
      <c r="L123" s="24"/>
      <c r="M123" s="24"/>
      <c r="N123" s="20" t="s">
        <v>193</v>
      </c>
      <c r="O123" s="32" t="s">
        <v>165</v>
      </c>
      <c r="P123" s="20"/>
      <c r="Q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38.25">
      <c r="A124" s="14">
        <f t="shared" si="12"/>
        <v>109</v>
      </c>
      <c r="B124" s="14">
        <v>15</v>
      </c>
      <c r="C124" s="45" t="s">
        <v>200</v>
      </c>
      <c r="D124" s="20">
        <v>1976</v>
      </c>
      <c r="E124" s="20"/>
      <c r="F124" s="23">
        <f t="shared" ref="F124:G124" si="64">IF(ISBLANK(D124),"",2025-D124)</f>
        <v>49</v>
      </c>
      <c r="G124" s="20" t="str">
        <f t="shared" si="64"/>
        <v/>
      </c>
      <c r="H124" s="20"/>
      <c r="I124" s="20"/>
      <c r="J124" s="14">
        <v>1</v>
      </c>
      <c r="K124" s="24"/>
      <c r="L124" s="24"/>
      <c r="M124" s="24"/>
      <c r="N124" s="20" t="s">
        <v>193</v>
      </c>
      <c r="O124" s="32" t="s">
        <v>52</v>
      </c>
      <c r="P124" s="20"/>
      <c r="Q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38.25">
      <c r="A125" s="14">
        <f t="shared" si="12"/>
        <v>110</v>
      </c>
      <c r="B125" s="14">
        <v>16</v>
      </c>
      <c r="C125" s="45" t="s">
        <v>201</v>
      </c>
      <c r="D125" s="20"/>
      <c r="E125" s="20">
        <v>1991</v>
      </c>
      <c r="F125" s="23" t="str">
        <f t="shared" ref="F125:G125" si="65">IF(ISBLANK(D125),"",2025-D125)</f>
        <v/>
      </c>
      <c r="G125" s="20">
        <f t="shared" si="65"/>
        <v>34</v>
      </c>
      <c r="H125" s="20"/>
      <c r="I125" s="20"/>
      <c r="J125" s="14">
        <v>1</v>
      </c>
      <c r="K125" s="24"/>
      <c r="L125" s="24"/>
      <c r="M125" s="24"/>
      <c r="N125" s="20" t="s">
        <v>196</v>
      </c>
      <c r="O125" s="32" t="s">
        <v>52</v>
      </c>
      <c r="P125" s="20"/>
      <c r="Q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41.25" customHeight="1">
      <c r="A126" s="14">
        <f t="shared" si="12"/>
        <v>111</v>
      </c>
      <c r="B126" s="14">
        <v>17</v>
      </c>
      <c r="C126" s="45" t="s">
        <v>202</v>
      </c>
      <c r="D126" s="20">
        <v>1991</v>
      </c>
      <c r="E126" s="20"/>
      <c r="F126" s="23">
        <f t="shared" ref="F126:G126" si="66">IF(ISBLANK(D126),"",2025-D126)</f>
        <v>34</v>
      </c>
      <c r="G126" s="20" t="str">
        <f t="shared" si="66"/>
        <v/>
      </c>
      <c r="H126" s="20"/>
      <c r="I126" s="20"/>
      <c r="J126" s="14">
        <v>1</v>
      </c>
      <c r="K126" s="24"/>
      <c r="L126" s="24"/>
      <c r="M126" s="24"/>
      <c r="N126" s="20" t="s">
        <v>196</v>
      </c>
      <c r="O126" s="32" t="s">
        <v>52</v>
      </c>
      <c r="P126" s="20"/>
      <c r="Q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38.25">
      <c r="A127" s="14">
        <f t="shared" si="12"/>
        <v>112</v>
      </c>
      <c r="B127" s="14">
        <v>18</v>
      </c>
      <c r="C127" s="45" t="s">
        <v>203</v>
      </c>
      <c r="D127" s="20"/>
      <c r="E127" s="20">
        <v>1989</v>
      </c>
      <c r="F127" s="23" t="str">
        <f t="shared" ref="F127:G127" si="67">IF(ISBLANK(D127),"",2025-D127)</f>
        <v/>
      </c>
      <c r="G127" s="20">
        <f t="shared" si="67"/>
        <v>36</v>
      </c>
      <c r="H127" s="20"/>
      <c r="I127" s="20"/>
      <c r="J127" s="14">
        <v>1</v>
      </c>
      <c r="K127" s="24"/>
      <c r="L127" s="24"/>
      <c r="M127" s="24"/>
      <c r="N127" s="20" t="s">
        <v>196</v>
      </c>
      <c r="O127" s="32" t="s">
        <v>52</v>
      </c>
      <c r="P127" s="20"/>
      <c r="Q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38.25">
      <c r="A128" s="14">
        <f t="shared" si="12"/>
        <v>113</v>
      </c>
      <c r="B128" s="14">
        <v>19</v>
      </c>
      <c r="C128" s="45" t="s">
        <v>204</v>
      </c>
      <c r="D128" s="20">
        <v>1982</v>
      </c>
      <c r="E128" s="20"/>
      <c r="F128" s="23">
        <f t="shared" ref="F128:G128" si="68">IF(ISBLANK(D128),"",2025-D128)</f>
        <v>43</v>
      </c>
      <c r="G128" s="20" t="str">
        <f t="shared" si="68"/>
        <v/>
      </c>
      <c r="H128" s="20"/>
      <c r="I128" s="20"/>
      <c r="J128" s="14">
        <v>1</v>
      </c>
      <c r="K128" s="24"/>
      <c r="L128" s="24"/>
      <c r="M128" s="24"/>
      <c r="N128" s="20" t="s">
        <v>205</v>
      </c>
      <c r="O128" s="32" t="s">
        <v>52</v>
      </c>
      <c r="P128" s="20"/>
      <c r="Q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38.25">
      <c r="A129" s="14">
        <f t="shared" si="12"/>
        <v>114</v>
      </c>
      <c r="B129" s="14">
        <v>20</v>
      </c>
      <c r="C129" s="45" t="s">
        <v>206</v>
      </c>
      <c r="D129" s="20">
        <v>1989</v>
      </c>
      <c r="E129" s="20"/>
      <c r="F129" s="23">
        <f t="shared" ref="F129:G129" si="69">IF(ISBLANK(D129),"",2025-D129)</f>
        <v>36</v>
      </c>
      <c r="G129" s="20" t="str">
        <f t="shared" si="69"/>
        <v/>
      </c>
      <c r="H129" s="20"/>
      <c r="I129" s="20"/>
      <c r="J129" s="14">
        <v>1</v>
      </c>
      <c r="K129" s="24"/>
      <c r="L129" s="24"/>
      <c r="M129" s="24"/>
      <c r="N129" s="20" t="s">
        <v>196</v>
      </c>
      <c r="O129" s="32" t="s">
        <v>52</v>
      </c>
      <c r="P129" s="20"/>
      <c r="Q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5">
      <c r="A130" s="14">
        <f t="shared" si="12"/>
        <v>115</v>
      </c>
      <c r="B130" s="14">
        <v>21</v>
      </c>
      <c r="C130" s="45" t="s">
        <v>207</v>
      </c>
      <c r="D130" s="20">
        <v>1994</v>
      </c>
      <c r="E130" s="20"/>
      <c r="F130" s="23">
        <f t="shared" ref="F130:G130" si="70">IF(ISBLANK(D130),"",2025-D130)</f>
        <v>31</v>
      </c>
      <c r="G130" s="20" t="str">
        <f t="shared" si="70"/>
        <v/>
      </c>
      <c r="H130" s="20"/>
      <c r="I130" s="20"/>
      <c r="J130" s="14">
        <v>1</v>
      </c>
      <c r="K130" s="24"/>
      <c r="L130" s="24"/>
      <c r="M130" s="24"/>
      <c r="N130" s="20" t="s">
        <v>163</v>
      </c>
      <c r="O130" s="26" t="s">
        <v>79</v>
      </c>
      <c r="P130" s="20"/>
      <c r="Q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24.75" customHeight="1">
      <c r="A131" s="14" t="str">
        <f t="shared" si="12"/>
        <v/>
      </c>
      <c r="B131" s="14"/>
      <c r="C131" s="27" t="s">
        <v>208</v>
      </c>
      <c r="D131" s="18"/>
      <c r="E131" s="18"/>
      <c r="F131" s="23" t="str">
        <f t="shared" ref="F131:G131" si="71">IF(ISBLANK(D131),"",2025-D131)</f>
        <v/>
      </c>
      <c r="G131" s="20" t="str">
        <f t="shared" si="71"/>
        <v/>
      </c>
      <c r="H131" s="27"/>
      <c r="I131" s="27"/>
      <c r="J131" s="27"/>
      <c r="K131" s="27"/>
      <c r="L131" s="27"/>
      <c r="M131" s="27"/>
      <c r="N131" s="27"/>
      <c r="O131" s="35"/>
      <c r="P131" s="20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38.25">
      <c r="A132" s="14">
        <f t="shared" si="12"/>
        <v>116</v>
      </c>
      <c r="B132" s="14">
        <v>1</v>
      </c>
      <c r="C132" s="22" t="s">
        <v>209</v>
      </c>
      <c r="D132" s="20"/>
      <c r="E132" s="20">
        <v>1991</v>
      </c>
      <c r="F132" s="23" t="str">
        <f t="shared" ref="F132:G132" si="72">IF(ISBLANK(D132),"",2025-D132)</f>
        <v/>
      </c>
      <c r="G132" s="20">
        <f t="shared" si="72"/>
        <v>34</v>
      </c>
      <c r="H132" s="20" t="s">
        <v>117</v>
      </c>
      <c r="I132" s="20"/>
      <c r="J132" s="14">
        <v>1</v>
      </c>
      <c r="K132" s="24"/>
      <c r="L132" s="24"/>
      <c r="M132" s="24"/>
      <c r="N132" s="25" t="s">
        <v>210</v>
      </c>
      <c r="O132" s="26" t="s">
        <v>79</v>
      </c>
      <c r="P132" s="20"/>
      <c r="Q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38.25">
      <c r="A133" s="14">
        <f t="shared" si="12"/>
        <v>117</v>
      </c>
      <c r="B133" s="14">
        <v>2</v>
      </c>
      <c r="C133" s="22" t="s">
        <v>211</v>
      </c>
      <c r="D133" s="20">
        <v>1991</v>
      </c>
      <c r="E133" s="20"/>
      <c r="F133" s="23">
        <f t="shared" ref="F133:G133" si="73">IF(ISBLANK(D133),"",2025-D133)</f>
        <v>34</v>
      </c>
      <c r="G133" s="20" t="str">
        <f t="shared" si="73"/>
        <v/>
      </c>
      <c r="H133" s="20" t="s">
        <v>121</v>
      </c>
      <c r="I133" s="20"/>
      <c r="J133" s="14">
        <v>1</v>
      </c>
      <c r="K133" s="14"/>
      <c r="L133" s="24"/>
      <c r="M133" s="14"/>
      <c r="N133" s="25" t="s">
        <v>210</v>
      </c>
      <c r="O133" s="26" t="s">
        <v>79</v>
      </c>
      <c r="P133" s="20"/>
      <c r="Q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38.25">
      <c r="A134" s="14">
        <f t="shared" si="12"/>
        <v>118</v>
      </c>
      <c r="B134" s="14">
        <v>3</v>
      </c>
      <c r="C134" s="53" t="s">
        <v>212</v>
      </c>
      <c r="D134" s="48"/>
      <c r="E134" s="48">
        <v>1967</v>
      </c>
      <c r="F134" s="23" t="str">
        <f t="shared" ref="F134:G134" si="74">IF(ISBLANK(D134),"",2025-D134)</f>
        <v/>
      </c>
      <c r="G134" s="20">
        <f t="shared" si="74"/>
        <v>58</v>
      </c>
      <c r="H134" s="48"/>
      <c r="I134" s="48"/>
      <c r="J134" s="46"/>
      <c r="K134" s="46"/>
      <c r="L134" s="50"/>
      <c r="M134" s="46">
        <v>1</v>
      </c>
      <c r="N134" s="25" t="s">
        <v>213</v>
      </c>
      <c r="O134" s="26" t="s">
        <v>79</v>
      </c>
      <c r="P134" s="20"/>
      <c r="Q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5">
      <c r="A135" s="14">
        <f t="shared" si="12"/>
        <v>119</v>
      </c>
      <c r="B135" s="14">
        <v>4</v>
      </c>
      <c r="C135" s="22" t="s">
        <v>214</v>
      </c>
      <c r="D135" s="20"/>
      <c r="E135" s="20">
        <v>1980</v>
      </c>
      <c r="F135" s="23" t="str">
        <f t="shared" ref="F135:G135" si="75">IF(ISBLANK(D135),"",2025-D135)</f>
        <v/>
      </c>
      <c r="G135" s="20">
        <f t="shared" si="75"/>
        <v>45</v>
      </c>
      <c r="H135" s="20"/>
      <c r="I135" s="20"/>
      <c r="J135" s="14">
        <v>1</v>
      </c>
      <c r="K135" s="14"/>
      <c r="L135" s="24"/>
      <c r="M135" s="14"/>
      <c r="N135" s="20" t="s">
        <v>163</v>
      </c>
      <c r="O135" s="26" t="s">
        <v>79</v>
      </c>
      <c r="P135" s="20"/>
      <c r="Q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38.25">
      <c r="A136" s="14">
        <f t="shared" si="12"/>
        <v>120</v>
      </c>
      <c r="B136" s="14">
        <v>5</v>
      </c>
      <c r="C136" s="22" t="s">
        <v>215</v>
      </c>
      <c r="D136" s="20"/>
      <c r="E136" s="20">
        <v>1993</v>
      </c>
      <c r="F136" s="23" t="str">
        <f t="shared" ref="F136:G136" si="76">IF(ISBLANK(D136),"",2025-D136)</f>
        <v/>
      </c>
      <c r="G136" s="20">
        <f t="shared" si="76"/>
        <v>32</v>
      </c>
      <c r="H136" s="20"/>
      <c r="I136" s="20"/>
      <c r="J136" s="14">
        <v>1</v>
      </c>
      <c r="K136" s="14"/>
      <c r="L136" s="24"/>
      <c r="M136" s="14"/>
      <c r="N136" s="25" t="s">
        <v>210</v>
      </c>
      <c r="O136" s="26" t="s">
        <v>79</v>
      </c>
      <c r="P136" s="20"/>
      <c r="Q136" s="6"/>
      <c r="S136" s="6"/>
      <c r="T136" s="6"/>
      <c r="W136" s="6"/>
      <c r="X136" s="6"/>
      <c r="Y136" s="6"/>
      <c r="Z136" s="6"/>
      <c r="AA136" s="6"/>
    </row>
    <row r="137" spans="1:27" ht="38.25">
      <c r="A137" s="14">
        <f t="shared" si="12"/>
        <v>121</v>
      </c>
      <c r="B137" s="14">
        <v>6</v>
      </c>
      <c r="C137" s="22" t="s">
        <v>216</v>
      </c>
      <c r="D137" s="20">
        <v>1994</v>
      </c>
      <c r="E137" s="20"/>
      <c r="F137" s="23">
        <f t="shared" ref="F137:G137" si="77">IF(ISBLANK(D137),"",2025-D137)</f>
        <v>31</v>
      </c>
      <c r="G137" s="20" t="str">
        <f t="shared" si="77"/>
        <v/>
      </c>
      <c r="H137" s="20"/>
      <c r="I137" s="20"/>
      <c r="J137" s="14">
        <v>1</v>
      </c>
      <c r="K137" s="54"/>
      <c r="L137" s="54"/>
      <c r="M137" s="54"/>
      <c r="N137" s="25" t="s">
        <v>210</v>
      </c>
      <c r="O137" s="26" t="s">
        <v>79</v>
      </c>
      <c r="P137" s="20"/>
      <c r="Q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5">
      <c r="A138" s="14">
        <f t="shared" si="12"/>
        <v>122</v>
      </c>
      <c r="B138" s="14">
        <v>7</v>
      </c>
      <c r="C138" s="22" t="s">
        <v>217</v>
      </c>
      <c r="D138" s="20">
        <v>1998</v>
      </c>
      <c r="E138" s="20"/>
      <c r="F138" s="23">
        <f t="shared" ref="F138:G138" si="78">IF(ISBLANK(D138),"",2025-D138)</f>
        <v>27</v>
      </c>
      <c r="G138" s="20" t="str">
        <f t="shared" si="78"/>
        <v/>
      </c>
      <c r="H138" s="20"/>
      <c r="I138" s="20"/>
      <c r="J138" s="14">
        <v>1</v>
      </c>
      <c r="K138" s="54"/>
      <c r="L138" s="54"/>
      <c r="M138" s="54"/>
      <c r="N138" s="20" t="s">
        <v>163</v>
      </c>
      <c r="O138" s="26" t="s">
        <v>79</v>
      </c>
      <c r="P138" s="20"/>
      <c r="Q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5">
      <c r="A139" s="14">
        <f t="shared" si="12"/>
        <v>123</v>
      </c>
      <c r="B139" s="14">
        <v>8</v>
      </c>
      <c r="C139" s="22" t="s">
        <v>218</v>
      </c>
      <c r="D139" s="20"/>
      <c r="E139" s="20">
        <v>1999</v>
      </c>
      <c r="F139" s="23" t="str">
        <f t="shared" ref="F139:G139" si="79">IF(ISBLANK(D139),"",2025-D139)</f>
        <v/>
      </c>
      <c r="G139" s="20">
        <f t="shared" si="79"/>
        <v>26</v>
      </c>
      <c r="H139" s="20"/>
      <c r="I139" s="20"/>
      <c r="J139" s="14">
        <v>1</v>
      </c>
      <c r="K139" s="54"/>
      <c r="L139" s="14"/>
      <c r="M139" s="54"/>
      <c r="N139" s="20" t="s">
        <v>163</v>
      </c>
      <c r="O139" s="26" t="s">
        <v>79</v>
      </c>
      <c r="P139" s="20"/>
      <c r="Q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5">
      <c r="A140" s="14">
        <f t="shared" si="12"/>
        <v>124</v>
      </c>
      <c r="B140" s="14">
        <v>9</v>
      </c>
      <c r="C140" s="22" t="s">
        <v>219</v>
      </c>
      <c r="D140" s="20"/>
      <c r="E140" s="20">
        <v>1999</v>
      </c>
      <c r="F140" s="23" t="str">
        <f t="shared" ref="F140:G140" si="80">IF(ISBLANK(D140),"",2025-D140)</f>
        <v/>
      </c>
      <c r="G140" s="20">
        <f t="shared" si="80"/>
        <v>26</v>
      </c>
      <c r="H140" s="20"/>
      <c r="I140" s="20"/>
      <c r="J140" s="14">
        <v>1</v>
      </c>
      <c r="K140" s="54"/>
      <c r="L140" s="14"/>
      <c r="M140" s="54"/>
      <c r="N140" s="20" t="s">
        <v>163</v>
      </c>
      <c r="O140" s="26" t="s">
        <v>79</v>
      </c>
      <c r="P140" s="20"/>
      <c r="Q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5">
      <c r="A141" s="14">
        <f t="shared" si="12"/>
        <v>125</v>
      </c>
      <c r="B141" s="14">
        <v>10</v>
      </c>
      <c r="C141" s="22" t="s">
        <v>220</v>
      </c>
      <c r="D141" s="20"/>
      <c r="E141" s="20">
        <v>1999</v>
      </c>
      <c r="F141" s="23" t="str">
        <f t="shared" ref="F141:G141" si="81">IF(ISBLANK(D141),"",2025-D141)</f>
        <v/>
      </c>
      <c r="G141" s="20">
        <f t="shared" si="81"/>
        <v>26</v>
      </c>
      <c r="H141" s="20"/>
      <c r="I141" s="20"/>
      <c r="J141" s="14">
        <v>1</v>
      </c>
      <c r="K141" s="54"/>
      <c r="L141" s="14"/>
      <c r="M141" s="54"/>
      <c r="N141" s="20" t="s">
        <v>163</v>
      </c>
      <c r="O141" s="26" t="s">
        <v>79</v>
      </c>
      <c r="P141" s="20"/>
      <c r="Q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5">
      <c r="A142" s="14">
        <f t="shared" si="12"/>
        <v>126</v>
      </c>
      <c r="B142" s="14">
        <v>11</v>
      </c>
      <c r="C142" s="22" t="s">
        <v>221</v>
      </c>
      <c r="D142" s="20"/>
      <c r="E142" s="20">
        <v>1999</v>
      </c>
      <c r="F142" s="23" t="str">
        <f t="shared" ref="F142:G142" si="82">IF(ISBLANK(D142),"",2025-D142)</f>
        <v/>
      </c>
      <c r="G142" s="20">
        <f t="shared" si="82"/>
        <v>26</v>
      </c>
      <c r="H142" s="20"/>
      <c r="I142" s="20"/>
      <c r="J142" s="14">
        <v>1</v>
      </c>
      <c r="K142" s="54"/>
      <c r="L142" s="14"/>
      <c r="M142" s="54"/>
      <c r="N142" s="20" t="s">
        <v>163</v>
      </c>
      <c r="O142" s="26" t="s">
        <v>79</v>
      </c>
      <c r="P142" s="20"/>
      <c r="Q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5">
      <c r="A143" s="14">
        <f t="shared" si="12"/>
        <v>127</v>
      </c>
      <c r="B143" s="14">
        <v>12</v>
      </c>
      <c r="C143" s="22" t="s">
        <v>222</v>
      </c>
      <c r="D143" s="20">
        <v>1996</v>
      </c>
      <c r="E143" s="20"/>
      <c r="F143" s="23">
        <f t="shared" ref="F143:G143" si="83">IF(ISBLANK(D143),"",2025-D143)</f>
        <v>29</v>
      </c>
      <c r="G143" s="20" t="str">
        <f t="shared" si="83"/>
        <v/>
      </c>
      <c r="H143" s="20"/>
      <c r="I143" s="20"/>
      <c r="J143" s="14">
        <v>1</v>
      </c>
      <c r="K143" s="54"/>
      <c r="L143" s="14"/>
      <c r="M143" s="54"/>
      <c r="N143" s="20" t="s">
        <v>163</v>
      </c>
      <c r="O143" s="26" t="s">
        <v>79</v>
      </c>
      <c r="P143" s="20"/>
      <c r="Q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25.5">
      <c r="A144" s="14">
        <f t="shared" si="12"/>
        <v>128</v>
      </c>
      <c r="B144" s="14">
        <v>13</v>
      </c>
      <c r="C144" s="22" t="s">
        <v>223</v>
      </c>
      <c r="D144" s="20"/>
      <c r="E144" s="20">
        <v>1981</v>
      </c>
      <c r="F144" s="23" t="str">
        <f t="shared" ref="F144:G144" si="84">IF(ISBLANK(D144),"",2025-D144)</f>
        <v/>
      </c>
      <c r="G144" s="20">
        <f t="shared" si="84"/>
        <v>44</v>
      </c>
      <c r="H144" s="20" t="s">
        <v>224</v>
      </c>
      <c r="I144" s="20"/>
      <c r="J144" s="14">
        <v>1</v>
      </c>
      <c r="K144" s="24"/>
      <c r="L144" s="24"/>
      <c r="M144" s="24"/>
      <c r="N144" s="36" t="s">
        <v>58</v>
      </c>
      <c r="O144" s="34" t="s">
        <v>64</v>
      </c>
      <c r="P144" s="20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5">
      <c r="A145" s="14">
        <f t="shared" si="12"/>
        <v>129</v>
      </c>
      <c r="B145" s="14">
        <v>14</v>
      </c>
      <c r="C145" s="22" t="s">
        <v>225</v>
      </c>
      <c r="D145" s="20"/>
      <c r="E145" s="20">
        <v>1988</v>
      </c>
      <c r="F145" s="23" t="str">
        <f t="shared" ref="F145:G145" si="85">IF(ISBLANK(D145),"",2025-D145)</f>
        <v/>
      </c>
      <c r="G145" s="20">
        <f t="shared" si="85"/>
        <v>37</v>
      </c>
      <c r="H145" s="20"/>
      <c r="I145" s="20"/>
      <c r="J145" s="14">
        <v>1</v>
      </c>
      <c r="K145" s="24"/>
      <c r="L145" s="24"/>
      <c r="M145" s="24"/>
      <c r="N145" s="36" t="s">
        <v>58</v>
      </c>
      <c r="O145" s="34" t="s">
        <v>64</v>
      </c>
      <c r="P145" s="20"/>
      <c r="Q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5">
      <c r="A146" s="14">
        <f t="shared" si="12"/>
        <v>130</v>
      </c>
      <c r="B146" s="14">
        <v>15</v>
      </c>
      <c r="C146" s="22" t="s">
        <v>226</v>
      </c>
      <c r="D146" s="20"/>
      <c r="E146" s="20">
        <v>1977</v>
      </c>
      <c r="F146" s="23" t="str">
        <f t="shared" ref="F146:G146" si="86">IF(ISBLANK(D146),"",2025-D146)</f>
        <v/>
      </c>
      <c r="G146" s="20">
        <f t="shared" si="86"/>
        <v>48</v>
      </c>
      <c r="H146" s="20"/>
      <c r="I146" s="20"/>
      <c r="J146" s="14">
        <v>1</v>
      </c>
      <c r="K146" s="24"/>
      <c r="L146" s="24"/>
      <c r="M146" s="24"/>
      <c r="N146" s="36" t="s">
        <v>58</v>
      </c>
      <c r="O146" s="34" t="s">
        <v>64</v>
      </c>
      <c r="P146" s="20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5">
      <c r="A147" s="14">
        <f t="shared" si="12"/>
        <v>131</v>
      </c>
      <c r="B147" s="14">
        <v>16</v>
      </c>
      <c r="C147" s="22" t="s">
        <v>227</v>
      </c>
      <c r="D147" s="20"/>
      <c r="E147" s="20">
        <v>1999</v>
      </c>
      <c r="F147" s="23" t="str">
        <f t="shared" ref="F147:G147" si="87">IF(ISBLANK(D147),"",2025-D147)</f>
        <v/>
      </c>
      <c r="G147" s="20">
        <f t="shared" si="87"/>
        <v>26</v>
      </c>
      <c r="H147" s="20"/>
      <c r="I147" s="20"/>
      <c r="J147" s="14">
        <v>1</v>
      </c>
      <c r="K147" s="24"/>
      <c r="L147" s="24"/>
      <c r="M147" s="24"/>
      <c r="N147" s="36" t="s">
        <v>58</v>
      </c>
      <c r="O147" s="34" t="s">
        <v>64</v>
      </c>
      <c r="P147" s="20"/>
      <c r="Q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5">
      <c r="A148" s="14">
        <f t="shared" si="12"/>
        <v>132</v>
      </c>
      <c r="B148" s="14">
        <v>17</v>
      </c>
      <c r="C148" s="22" t="s">
        <v>228</v>
      </c>
      <c r="D148" s="20"/>
      <c r="E148" s="20">
        <v>1998</v>
      </c>
      <c r="F148" s="23" t="str">
        <f t="shared" ref="F148:G148" si="88">IF(ISBLANK(D148),"",2025-D148)</f>
        <v/>
      </c>
      <c r="G148" s="20">
        <f t="shared" si="88"/>
        <v>27</v>
      </c>
      <c r="H148" s="20"/>
      <c r="I148" s="20"/>
      <c r="J148" s="14">
        <v>1</v>
      </c>
      <c r="K148" s="24"/>
      <c r="L148" s="24"/>
      <c r="M148" s="24"/>
      <c r="N148" s="36" t="s">
        <v>58</v>
      </c>
      <c r="O148" s="34" t="s">
        <v>64</v>
      </c>
      <c r="P148" s="20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5">
      <c r="A149" s="14">
        <f t="shared" si="12"/>
        <v>133</v>
      </c>
      <c r="B149" s="14">
        <v>18</v>
      </c>
      <c r="C149" s="22" t="s">
        <v>229</v>
      </c>
      <c r="D149" s="20"/>
      <c r="E149" s="20">
        <v>1999</v>
      </c>
      <c r="F149" s="23" t="str">
        <f t="shared" ref="F149:G149" si="89">IF(ISBLANK(D149),"",2025-D149)</f>
        <v/>
      </c>
      <c r="G149" s="20">
        <f t="shared" si="89"/>
        <v>26</v>
      </c>
      <c r="H149" s="20"/>
      <c r="I149" s="20"/>
      <c r="J149" s="14">
        <v>1</v>
      </c>
      <c r="K149" s="24"/>
      <c r="L149" s="24"/>
      <c r="M149" s="24"/>
      <c r="N149" s="36" t="s">
        <v>58</v>
      </c>
      <c r="O149" s="34" t="s">
        <v>64</v>
      </c>
      <c r="P149" s="20"/>
      <c r="Q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5">
      <c r="A150" s="14">
        <f t="shared" si="12"/>
        <v>134</v>
      </c>
      <c r="B150" s="14">
        <v>19</v>
      </c>
      <c r="C150" s="22" t="s">
        <v>230</v>
      </c>
      <c r="D150" s="20"/>
      <c r="E150" s="20">
        <v>1997</v>
      </c>
      <c r="F150" s="23" t="str">
        <f t="shared" ref="F150:G150" si="90">IF(ISBLANK(D150),"",2025-D150)</f>
        <v/>
      </c>
      <c r="G150" s="20">
        <f t="shared" si="90"/>
        <v>28</v>
      </c>
      <c r="H150" s="20"/>
      <c r="I150" s="20"/>
      <c r="J150" s="14">
        <v>1</v>
      </c>
      <c r="K150" s="24"/>
      <c r="L150" s="24"/>
      <c r="M150" s="24"/>
      <c r="N150" s="36" t="s">
        <v>58</v>
      </c>
      <c r="O150" s="34" t="s">
        <v>64</v>
      </c>
      <c r="P150" s="20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5">
      <c r="A151" s="14">
        <f t="shared" si="12"/>
        <v>135</v>
      </c>
      <c r="B151" s="14">
        <v>20</v>
      </c>
      <c r="C151" s="22" t="s">
        <v>231</v>
      </c>
      <c r="D151" s="20"/>
      <c r="E151" s="20">
        <v>1998</v>
      </c>
      <c r="F151" s="23" t="str">
        <f t="shared" ref="F151:G151" si="91">IF(ISBLANK(D151),"",2025-D151)</f>
        <v/>
      </c>
      <c r="G151" s="20">
        <f t="shared" si="91"/>
        <v>27</v>
      </c>
      <c r="H151" s="20"/>
      <c r="I151" s="20"/>
      <c r="J151" s="14">
        <v>1</v>
      </c>
      <c r="K151" s="24"/>
      <c r="L151" s="24"/>
      <c r="M151" s="24"/>
      <c r="N151" s="36" t="s">
        <v>58</v>
      </c>
      <c r="O151" s="34" t="s">
        <v>64</v>
      </c>
      <c r="P151" s="20"/>
      <c r="Q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25.5">
      <c r="A152" s="14">
        <f t="shared" si="12"/>
        <v>136</v>
      </c>
      <c r="B152" s="14">
        <v>21</v>
      </c>
      <c r="C152" s="22" t="s">
        <v>232</v>
      </c>
      <c r="D152" s="20"/>
      <c r="E152" s="20">
        <v>1997</v>
      </c>
      <c r="F152" s="23" t="str">
        <f t="shared" ref="F152:G152" si="92">IF(ISBLANK(D152),"",2025-D152)</f>
        <v/>
      </c>
      <c r="G152" s="20">
        <f t="shared" si="92"/>
        <v>28</v>
      </c>
      <c r="H152" s="20"/>
      <c r="I152" s="20"/>
      <c r="J152" s="14">
        <v>1</v>
      </c>
      <c r="K152" s="24"/>
      <c r="L152" s="24"/>
      <c r="M152" s="24"/>
      <c r="N152" s="20" t="s">
        <v>72</v>
      </c>
      <c r="O152" s="34" t="s">
        <v>59</v>
      </c>
      <c r="P152" s="20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5">
      <c r="A153" s="14">
        <f t="shared" si="12"/>
        <v>137</v>
      </c>
      <c r="B153" s="14">
        <v>22</v>
      </c>
      <c r="C153" s="22" t="s">
        <v>233</v>
      </c>
      <c r="D153" s="20"/>
      <c r="E153" s="20">
        <v>1985</v>
      </c>
      <c r="F153" s="23" t="str">
        <f t="shared" ref="F153:G153" si="93">IF(ISBLANK(D153),"",2025-D153)</f>
        <v/>
      </c>
      <c r="G153" s="20">
        <f t="shared" si="93"/>
        <v>40</v>
      </c>
      <c r="H153" s="20"/>
      <c r="I153" s="20"/>
      <c r="J153" s="14">
        <v>1</v>
      </c>
      <c r="K153" s="24"/>
      <c r="L153" s="24"/>
      <c r="M153" s="24"/>
      <c r="N153" s="20" t="s">
        <v>58</v>
      </c>
      <c r="O153" s="34" t="s">
        <v>59</v>
      </c>
      <c r="P153" s="20"/>
      <c r="Q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5">
      <c r="A154" s="14">
        <f t="shared" si="12"/>
        <v>138</v>
      </c>
      <c r="B154" s="14">
        <v>23</v>
      </c>
      <c r="C154" s="22" t="s">
        <v>234</v>
      </c>
      <c r="D154" s="20"/>
      <c r="E154" s="20">
        <v>1993</v>
      </c>
      <c r="F154" s="23" t="str">
        <f t="shared" ref="F154:G154" si="94">IF(ISBLANK(D154),"",2025-D154)</f>
        <v/>
      </c>
      <c r="G154" s="20">
        <f t="shared" si="94"/>
        <v>32</v>
      </c>
      <c r="H154" s="20"/>
      <c r="I154" s="20"/>
      <c r="J154" s="14">
        <v>1</v>
      </c>
      <c r="K154" s="24"/>
      <c r="L154" s="24"/>
      <c r="M154" s="24"/>
      <c r="N154" s="20" t="s">
        <v>58</v>
      </c>
      <c r="O154" s="34" t="s">
        <v>59</v>
      </c>
      <c r="P154" s="20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5">
      <c r="A155" s="14">
        <f t="shared" si="12"/>
        <v>139</v>
      </c>
      <c r="B155" s="14">
        <v>24</v>
      </c>
      <c r="C155" s="22" t="s">
        <v>235</v>
      </c>
      <c r="D155" s="20"/>
      <c r="E155" s="20">
        <v>1994</v>
      </c>
      <c r="F155" s="23" t="str">
        <f t="shared" ref="F155:G155" si="95">IF(ISBLANK(D155),"",2025-D155)</f>
        <v/>
      </c>
      <c r="G155" s="20">
        <f t="shared" si="95"/>
        <v>31</v>
      </c>
      <c r="H155" s="20"/>
      <c r="I155" s="20"/>
      <c r="J155" s="14">
        <v>1</v>
      </c>
      <c r="K155" s="24"/>
      <c r="L155" s="24"/>
      <c r="M155" s="24"/>
      <c r="N155" s="20" t="s">
        <v>58</v>
      </c>
      <c r="O155" s="34" t="s">
        <v>59</v>
      </c>
      <c r="P155" s="20"/>
      <c r="Q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25.5">
      <c r="A156" s="14">
        <f t="shared" si="12"/>
        <v>140</v>
      </c>
      <c r="B156" s="14">
        <v>25</v>
      </c>
      <c r="C156" s="22" t="s">
        <v>236</v>
      </c>
      <c r="D156" s="20"/>
      <c r="E156" s="20">
        <v>1990</v>
      </c>
      <c r="F156" s="23" t="str">
        <f t="shared" ref="F156:G156" si="96">IF(ISBLANK(D156),"",2025-D156)</f>
        <v/>
      </c>
      <c r="G156" s="20">
        <f t="shared" si="96"/>
        <v>35</v>
      </c>
      <c r="H156" s="20"/>
      <c r="I156" s="20"/>
      <c r="J156" s="14">
        <v>1</v>
      </c>
      <c r="K156" s="24"/>
      <c r="L156" s="24"/>
      <c r="M156" s="24"/>
      <c r="N156" s="20" t="s">
        <v>72</v>
      </c>
      <c r="O156" s="34" t="s">
        <v>59</v>
      </c>
      <c r="P156" s="20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25.5">
      <c r="A157" s="14">
        <f t="shared" si="12"/>
        <v>141</v>
      </c>
      <c r="B157" s="14">
        <v>26</v>
      </c>
      <c r="C157" s="22" t="s">
        <v>237</v>
      </c>
      <c r="D157" s="20"/>
      <c r="E157" s="20">
        <v>1998</v>
      </c>
      <c r="F157" s="23" t="str">
        <f t="shared" ref="F157:G157" si="97">IF(ISBLANK(D157),"",2025-D157)</f>
        <v/>
      </c>
      <c r="G157" s="20">
        <f t="shared" si="97"/>
        <v>27</v>
      </c>
      <c r="H157" s="20"/>
      <c r="I157" s="20"/>
      <c r="J157" s="14">
        <v>1</v>
      </c>
      <c r="K157" s="24"/>
      <c r="L157" s="24"/>
      <c r="M157" s="24"/>
      <c r="N157" s="20" t="s">
        <v>72</v>
      </c>
      <c r="O157" s="34" t="s">
        <v>59</v>
      </c>
      <c r="P157" s="20"/>
      <c r="Q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25.5">
      <c r="A158" s="14">
        <f t="shared" si="12"/>
        <v>142</v>
      </c>
      <c r="B158" s="14">
        <v>27</v>
      </c>
      <c r="C158" s="22" t="s">
        <v>238</v>
      </c>
      <c r="D158" s="20"/>
      <c r="E158" s="20">
        <v>1976</v>
      </c>
      <c r="F158" s="23" t="str">
        <f t="shared" ref="F158:G158" si="98">IF(ISBLANK(D158),"",2025-D158)</f>
        <v/>
      </c>
      <c r="G158" s="20">
        <f t="shared" si="98"/>
        <v>49</v>
      </c>
      <c r="H158" s="20"/>
      <c r="I158" s="20"/>
      <c r="J158" s="14">
        <v>1</v>
      </c>
      <c r="K158" s="24"/>
      <c r="L158" s="24"/>
      <c r="M158" s="24"/>
      <c r="N158" s="20" t="s">
        <v>72</v>
      </c>
      <c r="O158" s="34" t="s">
        <v>59</v>
      </c>
      <c r="P158" s="20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25.5">
      <c r="A159" s="14">
        <f t="shared" si="12"/>
        <v>143</v>
      </c>
      <c r="B159" s="14">
        <v>28</v>
      </c>
      <c r="C159" s="22" t="s">
        <v>239</v>
      </c>
      <c r="D159" s="20"/>
      <c r="E159" s="20">
        <v>1979</v>
      </c>
      <c r="F159" s="23" t="str">
        <f t="shared" ref="F159:G159" si="99">IF(ISBLANK(D159),"",2025-D159)</f>
        <v/>
      </c>
      <c r="G159" s="20">
        <f t="shared" si="99"/>
        <v>46</v>
      </c>
      <c r="H159" s="20"/>
      <c r="I159" s="20"/>
      <c r="J159" s="14">
        <v>1</v>
      </c>
      <c r="K159" s="24"/>
      <c r="L159" s="24"/>
      <c r="M159" s="24"/>
      <c r="N159" s="20" t="s">
        <v>72</v>
      </c>
      <c r="O159" s="34" t="s">
        <v>59</v>
      </c>
      <c r="P159" s="20"/>
      <c r="Q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25.5">
      <c r="A160" s="14">
        <f t="shared" si="12"/>
        <v>144</v>
      </c>
      <c r="B160" s="14">
        <v>29</v>
      </c>
      <c r="C160" s="22" t="s">
        <v>240</v>
      </c>
      <c r="D160" s="20">
        <v>1993</v>
      </c>
      <c r="E160" s="20"/>
      <c r="F160" s="23">
        <f t="shared" ref="F160:G160" si="100">IF(ISBLANK(D160),"",2025-D160)</f>
        <v>32</v>
      </c>
      <c r="G160" s="20" t="str">
        <f t="shared" si="100"/>
        <v/>
      </c>
      <c r="H160" s="20"/>
      <c r="I160" s="20"/>
      <c r="J160" s="14">
        <v>1</v>
      </c>
      <c r="K160" s="24"/>
      <c r="L160" s="24"/>
      <c r="M160" s="24"/>
      <c r="N160" s="20" t="s">
        <v>72</v>
      </c>
      <c r="O160" s="34" t="s">
        <v>59</v>
      </c>
      <c r="P160" s="20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25.5">
      <c r="A161" s="14">
        <f t="shared" si="12"/>
        <v>145</v>
      </c>
      <c r="B161" s="14">
        <v>30</v>
      </c>
      <c r="C161" s="22" t="s">
        <v>241</v>
      </c>
      <c r="D161" s="20"/>
      <c r="E161" s="20">
        <v>1990</v>
      </c>
      <c r="F161" s="23" t="str">
        <f t="shared" ref="F161:G161" si="101">IF(ISBLANK(D161),"",2025-D161)</f>
        <v/>
      </c>
      <c r="G161" s="20">
        <f t="shared" si="101"/>
        <v>35</v>
      </c>
      <c r="H161" s="20"/>
      <c r="I161" s="20"/>
      <c r="J161" s="14">
        <v>1</v>
      </c>
      <c r="K161" s="24"/>
      <c r="L161" s="24"/>
      <c r="M161" s="24"/>
      <c r="N161" s="20" t="s">
        <v>72</v>
      </c>
      <c r="O161" s="34" t="s">
        <v>59</v>
      </c>
      <c r="P161" s="20"/>
      <c r="Q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5">
      <c r="A162" s="14">
        <f t="shared" si="12"/>
        <v>146</v>
      </c>
      <c r="B162" s="14">
        <v>31</v>
      </c>
      <c r="C162" s="22" t="s">
        <v>242</v>
      </c>
      <c r="D162" s="20"/>
      <c r="E162" s="20">
        <v>2000</v>
      </c>
      <c r="F162" s="23" t="str">
        <f t="shared" ref="F162:G162" si="102">IF(ISBLANK(D162),"",2025-D162)</f>
        <v/>
      </c>
      <c r="G162" s="20">
        <f t="shared" si="102"/>
        <v>25</v>
      </c>
      <c r="H162" s="20"/>
      <c r="I162" s="20"/>
      <c r="J162" s="14">
        <v>1</v>
      </c>
      <c r="K162" s="24"/>
      <c r="L162" s="24"/>
      <c r="M162" s="24"/>
      <c r="N162" s="36" t="s">
        <v>58</v>
      </c>
      <c r="O162" s="34" t="s">
        <v>64</v>
      </c>
      <c r="P162" s="20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5">
      <c r="A163" s="14">
        <f t="shared" si="12"/>
        <v>147</v>
      </c>
      <c r="B163" s="14">
        <v>32</v>
      </c>
      <c r="C163" s="22" t="s">
        <v>243</v>
      </c>
      <c r="D163" s="20"/>
      <c r="E163" s="20">
        <v>2000</v>
      </c>
      <c r="F163" s="23" t="str">
        <f t="shared" ref="F163:G163" si="103">IF(ISBLANK(D163),"",2025-D163)</f>
        <v/>
      </c>
      <c r="G163" s="20">
        <f t="shared" si="103"/>
        <v>25</v>
      </c>
      <c r="H163" s="20"/>
      <c r="I163" s="20"/>
      <c r="J163" s="14">
        <v>1</v>
      </c>
      <c r="K163" s="24"/>
      <c r="L163" s="24"/>
      <c r="M163" s="24"/>
      <c r="N163" s="20" t="s">
        <v>244</v>
      </c>
      <c r="O163" s="34" t="s">
        <v>59</v>
      </c>
      <c r="P163" s="20"/>
      <c r="Q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30">
      <c r="A164" s="14" t="str">
        <f t="shared" si="12"/>
        <v/>
      </c>
      <c r="B164" s="14"/>
      <c r="C164" s="27" t="s">
        <v>245</v>
      </c>
      <c r="D164" s="18"/>
      <c r="E164" s="18"/>
      <c r="F164" s="23" t="str">
        <f t="shared" ref="F164:G164" si="104">IF(ISBLANK(D164),"",2025-D164)</f>
        <v/>
      </c>
      <c r="G164" s="20" t="str">
        <f t="shared" si="104"/>
        <v/>
      </c>
      <c r="H164" s="27"/>
      <c r="I164" s="27"/>
      <c r="J164" s="27"/>
      <c r="K164" s="27"/>
      <c r="L164" s="27"/>
      <c r="M164" s="27"/>
      <c r="N164" s="27"/>
      <c r="O164" s="35"/>
      <c r="P164" s="20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38.25">
      <c r="A165" s="14">
        <f t="shared" si="12"/>
        <v>148</v>
      </c>
      <c r="B165" s="14">
        <v>1</v>
      </c>
      <c r="C165" s="22" t="s">
        <v>246</v>
      </c>
      <c r="D165" s="20">
        <v>1989</v>
      </c>
      <c r="E165" s="20"/>
      <c r="F165" s="23">
        <f t="shared" ref="F165:G165" si="105">IF(ISBLANK(D165),"",2025-D165)</f>
        <v>36</v>
      </c>
      <c r="G165" s="20" t="str">
        <f t="shared" si="105"/>
        <v/>
      </c>
      <c r="H165" s="20" t="s">
        <v>117</v>
      </c>
      <c r="I165" s="20"/>
      <c r="J165" s="14">
        <v>1</v>
      </c>
      <c r="K165" s="24"/>
      <c r="L165" s="24"/>
      <c r="M165" s="24"/>
      <c r="N165" s="25" t="s">
        <v>213</v>
      </c>
      <c r="O165" s="26" t="s">
        <v>79</v>
      </c>
      <c r="P165" s="20"/>
      <c r="Q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5">
      <c r="A166" s="14">
        <f t="shared" si="12"/>
        <v>149</v>
      </c>
      <c r="B166" s="14">
        <v>2</v>
      </c>
      <c r="C166" s="22" t="s">
        <v>247</v>
      </c>
      <c r="D166" s="20">
        <v>1997</v>
      </c>
      <c r="E166" s="20"/>
      <c r="F166" s="23">
        <f t="shared" ref="F166:G166" si="106">IF(ISBLANK(D166),"",2025-D166)</f>
        <v>28</v>
      </c>
      <c r="G166" s="20" t="str">
        <f t="shared" si="106"/>
        <v/>
      </c>
      <c r="H166" s="20"/>
      <c r="I166" s="20"/>
      <c r="J166" s="14">
        <v>1</v>
      </c>
      <c r="K166" s="14"/>
      <c r="L166" s="24"/>
      <c r="M166" s="14"/>
      <c r="N166" s="20" t="s">
        <v>163</v>
      </c>
      <c r="O166" s="26" t="s">
        <v>79</v>
      </c>
      <c r="P166" s="20"/>
      <c r="Q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>
      <c r="A167" s="14">
        <f t="shared" si="12"/>
        <v>150</v>
      </c>
      <c r="B167" s="14">
        <v>3</v>
      </c>
      <c r="C167" s="55" t="s">
        <v>248</v>
      </c>
      <c r="D167" s="56"/>
      <c r="E167" s="57">
        <v>1999</v>
      </c>
      <c r="F167" s="23" t="str">
        <f t="shared" ref="F167:G167" si="107">IF(ISBLANK(D167),"",2025-D167)</f>
        <v/>
      </c>
      <c r="G167" s="20">
        <f t="shared" si="107"/>
        <v>26</v>
      </c>
      <c r="H167" s="57"/>
      <c r="I167" s="57"/>
      <c r="J167" s="14">
        <v>1</v>
      </c>
      <c r="K167" s="57"/>
      <c r="L167" s="58"/>
      <c r="M167" s="57"/>
      <c r="N167" s="20" t="s">
        <v>163</v>
      </c>
      <c r="O167" s="26" t="s">
        <v>79</v>
      </c>
      <c r="P167" s="57"/>
      <c r="Q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25.5">
      <c r="A168" s="14">
        <f t="shared" si="12"/>
        <v>151</v>
      </c>
      <c r="B168" s="14">
        <v>4</v>
      </c>
      <c r="C168" s="22" t="s">
        <v>249</v>
      </c>
      <c r="D168" s="20"/>
      <c r="E168" s="20">
        <v>1989</v>
      </c>
      <c r="F168" s="23" t="str">
        <f t="shared" ref="F168:G168" si="108">IF(ISBLANK(D168),"",2025-D168)</f>
        <v/>
      </c>
      <c r="G168" s="20">
        <f t="shared" si="108"/>
        <v>36</v>
      </c>
      <c r="H168" s="20" t="s">
        <v>224</v>
      </c>
      <c r="I168" s="20"/>
      <c r="J168" s="14">
        <v>1</v>
      </c>
      <c r="K168" s="24"/>
      <c r="L168" s="24"/>
      <c r="M168" s="24"/>
      <c r="N168" s="36" t="s">
        <v>58</v>
      </c>
      <c r="O168" s="34" t="s">
        <v>64</v>
      </c>
      <c r="P168" s="20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5">
      <c r="A169" s="14">
        <f t="shared" si="12"/>
        <v>152</v>
      </c>
      <c r="B169" s="14">
        <v>5</v>
      </c>
      <c r="C169" s="22" t="s">
        <v>250</v>
      </c>
      <c r="D169" s="20"/>
      <c r="E169" s="20">
        <v>1988</v>
      </c>
      <c r="F169" s="23" t="str">
        <f t="shared" ref="F169:G169" si="109">IF(ISBLANK(D169),"",2025-D169)</f>
        <v/>
      </c>
      <c r="G169" s="20">
        <f t="shared" si="109"/>
        <v>37</v>
      </c>
      <c r="H169" s="20"/>
      <c r="I169" s="20"/>
      <c r="J169" s="14">
        <v>1</v>
      </c>
      <c r="K169" s="24"/>
      <c r="L169" s="24"/>
      <c r="M169" s="24"/>
      <c r="N169" s="36" t="s">
        <v>58</v>
      </c>
      <c r="O169" s="34" t="s">
        <v>64</v>
      </c>
      <c r="P169" s="20"/>
      <c r="Q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5">
      <c r="A170" s="14">
        <f t="shared" si="12"/>
        <v>153</v>
      </c>
      <c r="B170" s="14">
        <v>6</v>
      </c>
      <c r="C170" s="22" t="s">
        <v>251</v>
      </c>
      <c r="D170" s="20"/>
      <c r="E170" s="20">
        <v>1989</v>
      </c>
      <c r="F170" s="23" t="str">
        <f t="shared" ref="F170:G170" si="110">IF(ISBLANK(D170),"",2025-D170)</f>
        <v/>
      </c>
      <c r="G170" s="20">
        <f t="shared" si="110"/>
        <v>36</v>
      </c>
      <c r="H170" s="20"/>
      <c r="I170" s="20"/>
      <c r="J170" s="14">
        <v>1</v>
      </c>
      <c r="K170" s="24"/>
      <c r="L170" s="24"/>
      <c r="M170" s="24"/>
      <c r="N170" s="36" t="s">
        <v>58</v>
      </c>
      <c r="O170" s="34" t="s">
        <v>59</v>
      </c>
      <c r="P170" s="20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5">
      <c r="A171" s="14">
        <f t="shared" si="12"/>
        <v>154</v>
      </c>
      <c r="B171" s="14">
        <v>7</v>
      </c>
      <c r="C171" s="22" t="s">
        <v>252</v>
      </c>
      <c r="D171" s="20"/>
      <c r="E171" s="20">
        <v>1993</v>
      </c>
      <c r="F171" s="23" t="str">
        <f t="shared" ref="F171:G171" si="111">IF(ISBLANK(D171),"",2025-D171)</f>
        <v/>
      </c>
      <c r="G171" s="20">
        <f t="shared" si="111"/>
        <v>32</v>
      </c>
      <c r="H171" s="20"/>
      <c r="I171" s="20"/>
      <c r="J171" s="14">
        <v>1</v>
      </c>
      <c r="K171" s="24"/>
      <c r="L171" s="24"/>
      <c r="M171" s="24"/>
      <c r="N171" s="36" t="s">
        <v>58</v>
      </c>
      <c r="O171" s="34" t="s">
        <v>64</v>
      </c>
      <c r="P171" s="20"/>
      <c r="Q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5">
      <c r="A172" s="14">
        <f t="shared" si="12"/>
        <v>155</v>
      </c>
      <c r="B172" s="14">
        <v>8</v>
      </c>
      <c r="C172" s="22" t="s">
        <v>253</v>
      </c>
      <c r="D172" s="20"/>
      <c r="E172" s="20">
        <v>1997</v>
      </c>
      <c r="F172" s="23" t="str">
        <f t="shared" ref="F172:G172" si="112">IF(ISBLANK(D172),"",2025-D172)</f>
        <v/>
      </c>
      <c r="G172" s="20">
        <f t="shared" si="112"/>
        <v>28</v>
      </c>
      <c r="H172" s="20"/>
      <c r="I172" s="20"/>
      <c r="J172" s="14">
        <v>1</v>
      </c>
      <c r="K172" s="24"/>
      <c r="L172" s="24"/>
      <c r="M172" s="24"/>
      <c r="N172" s="36" t="s">
        <v>58</v>
      </c>
      <c r="O172" s="34" t="s">
        <v>64</v>
      </c>
      <c r="P172" s="20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5">
      <c r="A173" s="14">
        <f t="shared" si="12"/>
        <v>156</v>
      </c>
      <c r="B173" s="14">
        <v>9</v>
      </c>
      <c r="C173" s="22" t="s">
        <v>254</v>
      </c>
      <c r="D173" s="20"/>
      <c r="E173" s="20">
        <v>1989</v>
      </c>
      <c r="F173" s="23" t="str">
        <f t="shared" ref="F173:G173" si="113">IF(ISBLANK(D173),"",2025-D173)</f>
        <v/>
      </c>
      <c r="G173" s="20">
        <f t="shared" si="113"/>
        <v>36</v>
      </c>
      <c r="H173" s="20"/>
      <c r="I173" s="20"/>
      <c r="J173" s="14">
        <v>1</v>
      </c>
      <c r="K173" s="24"/>
      <c r="L173" s="24"/>
      <c r="M173" s="24"/>
      <c r="N173" s="36" t="s">
        <v>58</v>
      </c>
      <c r="O173" s="34" t="s">
        <v>64</v>
      </c>
      <c r="P173" s="20"/>
      <c r="Q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25.5">
      <c r="A174" s="14">
        <f t="shared" si="12"/>
        <v>157</v>
      </c>
      <c r="B174" s="14">
        <v>10</v>
      </c>
      <c r="C174" s="22" t="s">
        <v>255</v>
      </c>
      <c r="D174" s="20"/>
      <c r="E174" s="20">
        <v>1997</v>
      </c>
      <c r="F174" s="23" t="str">
        <f t="shared" ref="F174:G174" si="114">IF(ISBLANK(D174),"",2025-D174)</f>
        <v/>
      </c>
      <c r="G174" s="20">
        <f t="shared" si="114"/>
        <v>28</v>
      </c>
      <c r="H174" s="20"/>
      <c r="I174" s="20"/>
      <c r="J174" s="14">
        <v>1</v>
      </c>
      <c r="K174" s="24"/>
      <c r="L174" s="24"/>
      <c r="M174" s="24"/>
      <c r="N174" s="20" t="s">
        <v>72</v>
      </c>
      <c r="O174" s="34" t="s">
        <v>59</v>
      </c>
      <c r="P174" s="20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5">
      <c r="A175" s="14">
        <f t="shared" si="12"/>
        <v>158</v>
      </c>
      <c r="B175" s="14">
        <v>11</v>
      </c>
      <c r="C175" s="22" t="s">
        <v>256</v>
      </c>
      <c r="D175" s="20"/>
      <c r="E175" s="20">
        <v>1991</v>
      </c>
      <c r="F175" s="23" t="str">
        <f t="shared" ref="F175:G175" si="115">IF(ISBLANK(D175),"",2025-D175)</f>
        <v/>
      </c>
      <c r="G175" s="20">
        <f t="shared" si="115"/>
        <v>34</v>
      </c>
      <c r="H175" s="20"/>
      <c r="I175" s="20"/>
      <c r="J175" s="14">
        <v>1</v>
      </c>
      <c r="K175" s="14"/>
      <c r="L175" s="14"/>
      <c r="M175" s="14"/>
      <c r="N175" s="20" t="s">
        <v>58</v>
      </c>
      <c r="O175" s="34" t="s">
        <v>59</v>
      </c>
      <c r="P175" s="20"/>
      <c r="Q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5">
      <c r="A176" s="14">
        <f t="shared" si="12"/>
        <v>159</v>
      </c>
      <c r="B176" s="14">
        <v>12</v>
      </c>
      <c r="C176" s="22" t="s">
        <v>257</v>
      </c>
      <c r="D176" s="20"/>
      <c r="E176" s="20">
        <v>1998</v>
      </c>
      <c r="F176" s="23" t="str">
        <f t="shared" ref="F176:G176" si="116">IF(ISBLANK(D176),"",2025-D176)</f>
        <v/>
      </c>
      <c r="G176" s="20">
        <f t="shared" si="116"/>
        <v>27</v>
      </c>
      <c r="H176" s="20"/>
      <c r="I176" s="20"/>
      <c r="J176" s="14">
        <v>1</v>
      </c>
      <c r="K176" s="24"/>
      <c r="L176" s="24"/>
      <c r="M176" s="24"/>
      <c r="N176" s="36" t="s">
        <v>58</v>
      </c>
      <c r="O176" s="34" t="s">
        <v>64</v>
      </c>
      <c r="P176" s="20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5">
      <c r="A177" s="14">
        <f t="shared" si="12"/>
        <v>160</v>
      </c>
      <c r="B177" s="14">
        <v>13</v>
      </c>
      <c r="C177" s="22" t="s">
        <v>258</v>
      </c>
      <c r="D177" s="20"/>
      <c r="E177" s="20">
        <v>1996</v>
      </c>
      <c r="F177" s="23" t="str">
        <f t="shared" ref="F177:G177" si="117">IF(ISBLANK(D177),"",2025-D177)</f>
        <v/>
      </c>
      <c r="G177" s="20">
        <f t="shared" si="117"/>
        <v>29</v>
      </c>
      <c r="H177" s="20"/>
      <c r="I177" s="20"/>
      <c r="J177" s="14">
        <v>1</v>
      </c>
      <c r="K177" s="24"/>
      <c r="L177" s="24"/>
      <c r="M177" s="24"/>
      <c r="N177" s="36" t="s">
        <v>58</v>
      </c>
      <c r="O177" s="34" t="s">
        <v>64</v>
      </c>
      <c r="P177" s="20"/>
      <c r="Q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5">
      <c r="A178" s="14">
        <f t="shared" si="12"/>
        <v>161</v>
      </c>
      <c r="B178" s="14">
        <v>14</v>
      </c>
      <c r="C178" s="22" t="s">
        <v>259</v>
      </c>
      <c r="D178" s="20"/>
      <c r="E178" s="20">
        <v>1989</v>
      </c>
      <c r="F178" s="23" t="str">
        <f t="shared" ref="F178:G178" si="118">IF(ISBLANK(D178),"",2025-D178)</f>
        <v/>
      </c>
      <c r="G178" s="20">
        <f t="shared" si="118"/>
        <v>36</v>
      </c>
      <c r="H178" s="20"/>
      <c r="I178" s="20"/>
      <c r="J178" s="14"/>
      <c r="K178" s="24">
        <v>1</v>
      </c>
      <c r="L178" s="24"/>
      <c r="M178" s="24"/>
      <c r="N178" s="20" t="s">
        <v>260</v>
      </c>
      <c r="O178" s="33" t="s">
        <v>154</v>
      </c>
      <c r="P178" s="20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5">
      <c r="A179" s="14">
        <f t="shared" si="12"/>
        <v>162</v>
      </c>
      <c r="B179" s="14">
        <v>15</v>
      </c>
      <c r="C179" s="22" t="s">
        <v>261</v>
      </c>
      <c r="D179" s="20"/>
      <c r="E179" s="20">
        <v>1975</v>
      </c>
      <c r="F179" s="23" t="str">
        <f t="shared" ref="F179:G179" si="119">IF(ISBLANK(D179),"",2025-D179)</f>
        <v/>
      </c>
      <c r="G179" s="20">
        <f t="shared" si="119"/>
        <v>50</v>
      </c>
      <c r="H179" s="20"/>
      <c r="I179" s="20"/>
      <c r="J179" s="14"/>
      <c r="K179" s="24">
        <v>1</v>
      </c>
      <c r="L179" s="24"/>
      <c r="M179" s="24"/>
      <c r="N179" s="20" t="s">
        <v>154</v>
      </c>
      <c r="O179" s="33" t="s">
        <v>154</v>
      </c>
      <c r="P179" s="20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5">
      <c r="A180" s="14" t="str">
        <f t="shared" si="12"/>
        <v/>
      </c>
      <c r="B180" s="14"/>
      <c r="C180" s="27" t="s">
        <v>262</v>
      </c>
      <c r="D180" s="18"/>
      <c r="E180" s="18"/>
      <c r="F180" s="23" t="str">
        <f t="shared" ref="F180:G180" si="120">IF(ISBLANK(D180),"",2025-D180)</f>
        <v/>
      </c>
      <c r="G180" s="20" t="str">
        <f t="shared" si="120"/>
        <v/>
      </c>
      <c r="H180" s="27"/>
      <c r="I180" s="27"/>
      <c r="J180" s="27"/>
      <c r="K180" s="27"/>
      <c r="L180" s="27"/>
      <c r="M180" s="27"/>
      <c r="N180" s="27"/>
      <c r="O180" s="28"/>
      <c r="P180" s="17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38.25">
      <c r="A181" s="14">
        <f t="shared" si="12"/>
        <v>163</v>
      </c>
      <c r="B181" s="14">
        <v>1</v>
      </c>
      <c r="C181" s="22" t="s">
        <v>263</v>
      </c>
      <c r="D181" s="20"/>
      <c r="E181" s="20">
        <v>1992</v>
      </c>
      <c r="F181" s="23" t="str">
        <f t="shared" ref="F181:G181" si="121">IF(ISBLANK(D181),"",2025-D181)</f>
        <v/>
      </c>
      <c r="G181" s="20">
        <f t="shared" si="121"/>
        <v>33</v>
      </c>
      <c r="H181" s="20" t="s">
        <v>121</v>
      </c>
      <c r="I181" s="20"/>
      <c r="J181" s="14">
        <v>1</v>
      </c>
      <c r="K181" s="24"/>
      <c r="L181" s="24"/>
      <c r="M181" s="24"/>
      <c r="N181" s="25" t="s">
        <v>84</v>
      </c>
      <c r="O181" s="26" t="s">
        <v>79</v>
      </c>
      <c r="P181" s="20"/>
      <c r="Q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25.5">
      <c r="A182" s="14">
        <f t="shared" si="12"/>
        <v>164</v>
      </c>
      <c r="B182" s="14">
        <v>2</v>
      </c>
      <c r="C182" s="22" t="s">
        <v>264</v>
      </c>
      <c r="D182" s="20"/>
      <c r="E182" s="20">
        <v>1994</v>
      </c>
      <c r="F182" s="23" t="str">
        <f t="shared" ref="F182:G182" si="122">IF(ISBLANK(D182),"",2025-D182)</f>
        <v/>
      </c>
      <c r="G182" s="20">
        <f t="shared" si="122"/>
        <v>31</v>
      </c>
      <c r="H182" s="20"/>
      <c r="I182" s="20"/>
      <c r="J182" s="14">
        <v>1</v>
      </c>
      <c r="K182" s="24"/>
      <c r="L182" s="24"/>
      <c r="M182" s="24"/>
      <c r="N182" s="25" t="s">
        <v>265</v>
      </c>
      <c r="O182" s="26" t="s">
        <v>79</v>
      </c>
      <c r="P182" s="20"/>
      <c r="Q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38.25">
      <c r="A183" s="14">
        <f t="shared" si="12"/>
        <v>165</v>
      </c>
      <c r="B183" s="14">
        <v>3</v>
      </c>
      <c r="C183" s="53" t="s">
        <v>266</v>
      </c>
      <c r="D183" s="48">
        <v>1962</v>
      </c>
      <c r="E183" s="48"/>
      <c r="F183" s="49"/>
      <c r="G183" s="20">
        <v>63</v>
      </c>
      <c r="H183" s="48"/>
      <c r="I183" s="48"/>
      <c r="J183" s="46"/>
      <c r="K183" s="50"/>
      <c r="L183" s="50"/>
      <c r="M183" s="50">
        <v>1</v>
      </c>
      <c r="N183" s="48" t="s">
        <v>84</v>
      </c>
      <c r="O183" s="51" t="s">
        <v>79</v>
      </c>
      <c r="P183" s="48"/>
      <c r="Q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25.5">
      <c r="A184" s="14">
        <f t="shared" si="12"/>
        <v>166</v>
      </c>
      <c r="B184" s="14">
        <v>4</v>
      </c>
      <c r="C184" s="22" t="s">
        <v>267</v>
      </c>
      <c r="D184" s="20"/>
      <c r="E184" s="20">
        <v>1993</v>
      </c>
      <c r="F184" s="23" t="str">
        <f t="shared" ref="F184:G184" si="123">IF(ISBLANK(D184),"",2025-D184)</f>
        <v/>
      </c>
      <c r="G184" s="20">
        <f t="shared" si="123"/>
        <v>32</v>
      </c>
      <c r="H184" s="20"/>
      <c r="I184" s="20"/>
      <c r="J184" s="14">
        <v>1</v>
      </c>
      <c r="K184" s="24"/>
      <c r="L184" s="24"/>
      <c r="M184" s="24"/>
      <c r="N184" s="25" t="s">
        <v>268</v>
      </c>
      <c r="O184" s="26" t="s">
        <v>79</v>
      </c>
      <c r="P184" s="20"/>
      <c r="Q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25.5">
      <c r="A185" s="14">
        <f t="shared" si="12"/>
        <v>167</v>
      </c>
      <c r="B185" s="14">
        <v>5</v>
      </c>
      <c r="C185" s="22" t="s">
        <v>269</v>
      </c>
      <c r="D185" s="20"/>
      <c r="E185" s="20">
        <v>1990</v>
      </c>
      <c r="F185" s="23" t="str">
        <f t="shared" ref="F185:G185" si="124">IF(ISBLANK(D185),"",2025-D185)</f>
        <v/>
      </c>
      <c r="G185" s="20">
        <f t="shared" si="124"/>
        <v>35</v>
      </c>
      <c r="H185" s="20"/>
      <c r="I185" s="20"/>
      <c r="J185" s="14">
        <v>1</v>
      </c>
      <c r="K185" s="24"/>
      <c r="L185" s="24"/>
      <c r="M185" s="24"/>
      <c r="N185" s="25" t="s">
        <v>268</v>
      </c>
      <c r="O185" s="26" t="s">
        <v>79</v>
      </c>
      <c r="P185" s="20"/>
      <c r="Q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25.5">
      <c r="A186" s="14">
        <f t="shared" si="12"/>
        <v>168</v>
      </c>
      <c r="B186" s="14">
        <v>6</v>
      </c>
      <c r="C186" s="22" t="s">
        <v>270</v>
      </c>
      <c r="D186" s="20"/>
      <c r="E186" s="20">
        <v>1993</v>
      </c>
      <c r="F186" s="23" t="str">
        <f t="shared" ref="F186:G186" si="125">IF(ISBLANK(D186),"",2025-D186)</f>
        <v/>
      </c>
      <c r="G186" s="20">
        <f t="shared" si="125"/>
        <v>32</v>
      </c>
      <c r="H186" s="20"/>
      <c r="I186" s="20"/>
      <c r="J186" s="14">
        <v>1</v>
      </c>
      <c r="K186" s="24"/>
      <c r="L186" s="24"/>
      <c r="M186" s="24"/>
      <c r="N186" s="25" t="s">
        <v>268</v>
      </c>
      <c r="O186" s="26" t="s">
        <v>79</v>
      </c>
      <c r="P186" s="20"/>
      <c r="Q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5">
      <c r="A187" s="14">
        <f t="shared" si="12"/>
        <v>169</v>
      </c>
      <c r="B187" s="14">
        <v>7</v>
      </c>
      <c r="C187" s="22" t="s">
        <v>271</v>
      </c>
      <c r="D187" s="20"/>
      <c r="E187" s="20">
        <v>1993</v>
      </c>
      <c r="F187" s="23" t="str">
        <f t="shared" ref="F187:G187" si="126">IF(ISBLANK(D187),"",2025-D187)</f>
        <v/>
      </c>
      <c r="G187" s="20">
        <f t="shared" si="126"/>
        <v>32</v>
      </c>
      <c r="H187" s="20"/>
      <c r="I187" s="20"/>
      <c r="J187" s="14">
        <v>1</v>
      </c>
      <c r="K187" s="24"/>
      <c r="L187" s="24"/>
      <c r="M187" s="24"/>
      <c r="N187" s="20" t="s">
        <v>163</v>
      </c>
      <c r="O187" s="26" t="s">
        <v>79</v>
      </c>
      <c r="P187" s="20"/>
      <c r="Q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5">
      <c r="A188" s="14">
        <f t="shared" si="12"/>
        <v>170</v>
      </c>
      <c r="B188" s="14">
        <v>8</v>
      </c>
      <c r="C188" s="22" t="s">
        <v>272</v>
      </c>
      <c r="D188" s="20"/>
      <c r="E188" s="20">
        <v>1994</v>
      </c>
      <c r="F188" s="23" t="str">
        <f t="shared" ref="F188:G188" si="127">IF(ISBLANK(D188),"",2025-D188)</f>
        <v/>
      </c>
      <c r="G188" s="20">
        <f t="shared" si="127"/>
        <v>31</v>
      </c>
      <c r="H188" s="20"/>
      <c r="I188" s="20"/>
      <c r="J188" s="14">
        <v>1</v>
      </c>
      <c r="K188" s="24"/>
      <c r="L188" s="24"/>
      <c r="M188" s="24"/>
      <c r="N188" s="20" t="s">
        <v>163</v>
      </c>
      <c r="O188" s="26" t="s">
        <v>79</v>
      </c>
      <c r="P188" s="20" t="s">
        <v>273</v>
      </c>
      <c r="Q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5">
      <c r="A189" s="14">
        <f t="shared" si="12"/>
        <v>171</v>
      </c>
      <c r="B189" s="14">
        <v>9</v>
      </c>
      <c r="C189" s="22" t="s">
        <v>274</v>
      </c>
      <c r="D189" s="20"/>
      <c r="E189" s="20">
        <v>1995</v>
      </c>
      <c r="F189" s="23" t="str">
        <f t="shared" ref="F189:G189" si="128">IF(ISBLANK(D189),"",2025-D189)</f>
        <v/>
      </c>
      <c r="G189" s="20">
        <f t="shared" si="128"/>
        <v>30</v>
      </c>
      <c r="H189" s="20"/>
      <c r="I189" s="20"/>
      <c r="J189" s="14">
        <v>1</v>
      </c>
      <c r="K189" s="54"/>
      <c r="L189" s="54"/>
      <c r="M189" s="24"/>
      <c r="N189" s="20" t="s">
        <v>163</v>
      </c>
      <c r="O189" s="26" t="s">
        <v>79</v>
      </c>
      <c r="P189" s="20"/>
      <c r="Q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5">
      <c r="A190" s="14">
        <f t="shared" si="12"/>
        <v>172</v>
      </c>
      <c r="B190" s="14">
        <v>10</v>
      </c>
      <c r="C190" s="22" t="s">
        <v>275</v>
      </c>
      <c r="D190" s="20"/>
      <c r="E190" s="20">
        <v>1999</v>
      </c>
      <c r="F190" s="23" t="str">
        <f t="shared" ref="F190:G190" si="129">IF(ISBLANK(D190),"",2025-D190)</f>
        <v/>
      </c>
      <c r="G190" s="20">
        <f t="shared" si="129"/>
        <v>26</v>
      </c>
      <c r="H190" s="20"/>
      <c r="I190" s="20"/>
      <c r="J190" s="14">
        <v>1</v>
      </c>
      <c r="K190" s="24"/>
      <c r="L190" s="24"/>
      <c r="M190" s="24"/>
      <c r="N190" s="20" t="s">
        <v>163</v>
      </c>
      <c r="O190" s="26" t="s">
        <v>79</v>
      </c>
      <c r="P190" s="20"/>
      <c r="Q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5">
      <c r="A191" s="14">
        <f t="shared" si="12"/>
        <v>173</v>
      </c>
      <c r="B191" s="14">
        <v>11</v>
      </c>
      <c r="C191" s="22" t="s">
        <v>276</v>
      </c>
      <c r="D191" s="20"/>
      <c r="E191" s="20">
        <v>1996</v>
      </c>
      <c r="F191" s="23" t="str">
        <f t="shared" ref="F191:G191" si="130">IF(ISBLANK(D191),"",2025-D191)</f>
        <v/>
      </c>
      <c r="G191" s="20">
        <f t="shared" si="130"/>
        <v>29</v>
      </c>
      <c r="H191" s="20"/>
      <c r="I191" s="20"/>
      <c r="J191" s="14">
        <v>1</v>
      </c>
      <c r="K191" s="24"/>
      <c r="L191" s="24"/>
      <c r="M191" s="24"/>
      <c r="N191" s="20" t="s">
        <v>163</v>
      </c>
      <c r="O191" s="26" t="s">
        <v>79</v>
      </c>
      <c r="P191" s="20"/>
      <c r="Q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5">
      <c r="A192" s="14">
        <f t="shared" si="12"/>
        <v>174</v>
      </c>
      <c r="B192" s="14">
        <v>12</v>
      </c>
      <c r="C192" s="22" t="s">
        <v>277</v>
      </c>
      <c r="D192" s="20"/>
      <c r="E192" s="20">
        <v>1996</v>
      </c>
      <c r="F192" s="23" t="str">
        <f t="shared" ref="F192:G192" si="131">IF(ISBLANK(D192),"",2025-D192)</f>
        <v/>
      </c>
      <c r="G192" s="20">
        <f t="shared" si="131"/>
        <v>29</v>
      </c>
      <c r="H192" s="20"/>
      <c r="I192" s="20"/>
      <c r="J192" s="14">
        <v>1</v>
      </c>
      <c r="K192" s="24"/>
      <c r="L192" s="24"/>
      <c r="M192" s="24"/>
      <c r="N192" s="20" t="s">
        <v>163</v>
      </c>
      <c r="O192" s="26" t="s">
        <v>79</v>
      </c>
      <c r="P192" s="20"/>
      <c r="Q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5">
      <c r="A193" s="14">
        <f t="shared" si="12"/>
        <v>175</v>
      </c>
      <c r="B193" s="14">
        <v>13</v>
      </c>
      <c r="C193" s="22" t="s">
        <v>278</v>
      </c>
      <c r="D193" s="20"/>
      <c r="E193" s="20">
        <v>1998</v>
      </c>
      <c r="F193" s="23" t="str">
        <f t="shared" ref="F193:G193" si="132">IF(ISBLANK(D193),"",2025-D193)</f>
        <v/>
      </c>
      <c r="G193" s="20">
        <f t="shared" si="132"/>
        <v>27</v>
      </c>
      <c r="H193" s="20"/>
      <c r="I193" s="20"/>
      <c r="J193" s="14">
        <v>1</v>
      </c>
      <c r="K193" s="24"/>
      <c r="L193" s="24"/>
      <c r="M193" s="24"/>
      <c r="N193" s="20" t="s">
        <v>163</v>
      </c>
      <c r="O193" s="26" t="s">
        <v>79</v>
      </c>
      <c r="P193" s="20"/>
      <c r="Q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5">
      <c r="A194" s="14">
        <f t="shared" si="12"/>
        <v>176</v>
      </c>
      <c r="B194" s="14">
        <v>14</v>
      </c>
      <c r="C194" s="22" t="s">
        <v>279</v>
      </c>
      <c r="D194" s="20"/>
      <c r="E194" s="20">
        <v>1998</v>
      </c>
      <c r="F194" s="23" t="str">
        <f t="shared" ref="F194:G194" si="133">IF(ISBLANK(D194),"",2025-D194)</f>
        <v/>
      </c>
      <c r="G194" s="20">
        <f t="shared" si="133"/>
        <v>27</v>
      </c>
      <c r="H194" s="20"/>
      <c r="I194" s="20"/>
      <c r="J194" s="14">
        <v>1</v>
      </c>
      <c r="K194" s="24"/>
      <c r="L194" s="24"/>
      <c r="M194" s="24"/>
      <c r="N194" s="20" t="s">
        <v>163</v>
      </c>
      <c r="O194" s="26" t="s">
        <v>79</v>
      </c>
      <c r="P194" s="20"/>
      <c r="Q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5">
      <c r="A195" s="14">
        <f t="shared" si="12"/>
        <v>177</v>
      </c>
      <c r="B195" s="14">
        <v>15</v>
      </c>
      <c r="C195" s="22" t="s">
        <v>280</v>
      </c>
      <c r="D195" s="20"/>
      <c r="E195" s="20">
        <v>1999</v>
      </c>
      <c r="F195" s="23" t="str">
        <f t="shared" ref="F195:G195" si="134">IF(ISBLANK(D195),"",2025-D195)</f>
        <v/>
      </c>
      <c r="G195" s="20">
        <f t="shared" si="134"/>
        <v>26</v>
      </c>
      <c r="H195" s="20"/>
      <c r="I195" s="20"/>
      <c r="J195" s="14">
        <v>1</v>
      </c>
      <c r="K195" s="24"/>
      <c r="L195" s="24"/>
      <c r="M195" s="24"/>
      <c r="N195" s="20" t="s">
        <v>163</v>
      </c>
      <c r="O195" s="26" t="s">
        <v>79</v>
      </c>
      <c r="P195" s="20"/>
      <c r="Q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5">
      <c r="A196" s="14">
        <f t="shared" si="12"/>
        <v>178</v>
      </c>
      <c r="B196" s="14">
        <v>16</v>
      </c>
      <c r="C196" s="22" t="s">
        <v>281</v>
      </c>
      <c r="D196" s="20">
        <v>1999</v>
      </c>
      <c r="E196" s="20"/>
      <c r="F196" s="23">
        <f t="shared" ref="F196:G196" si="135">IF(ISBLANK(D196),"",2025-D196)</f>
        <v>26</v>
      </c>
      <c r="G196" s="20" t="str">
        <f t="shared" si="135"/>
        <v/>
      </c>
      <c r="H196" s="20"/>
      <c r="I196" s="20"/>
      <c r="J196" s="14">
        <v>1</v>
      </c>
      <c r="K196" s="24"/>
      <c r="L196" s="24"/>
      <c r="M196" s="24"/>
      <c r="N196" s="20" t="s">
        <v>163</v>
      </c>
      <c r="O196" s="26" t="s">
        <v>79</v>
      </c>
      <c r="P196" s="20"/>
      <c r="Q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5">
      <c r="A197" s="14">
        <f t="shared" si="12"/>
        <v>179</v>
      </c>
      <c r="B197" s="14">
        <v>17</v>
      </c>
      <c r="C197" s="22" t="s">
        <v>282</v>
      </c>
      <c r="D197" s="20"/>
      <c r="E197" s="20">
        <v>1998</v>
      </c>
      <c r="F197" s="23" t="str">
        <f t="shared" ref="F197:G197" si="136">IF(ISBLANK(D197),"",2025-D197)</f>
        <v/>
      </c>
      <c r="G197" s="20">
        <f t="shared" si="136"/>
        <v>27</v>
      </c>
      <c r="H197" s="20"/>
      <c r="I197" s="20"/>
      <c r="J197" s="14">
        <v>1</v>
      </c>
      <c r="K197" s="24"/>
      <c r="L197" s="24"/>
      <c r="M197" s="24"/>
      <c r="N197" s="20" t="s">
        <v>163</v>
      </c>
      <c r="O197" s="26" t="s">
        <v>79</v>
      </c>
      <c r="P197" s="20"/>
      <c r="Q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25.5">
      <c r="A198" s="14">
        <f t="shared" si="12"/>
        <v>180</v>
      </c>
      <c r="B198" s="14">
        <v>18</v>
      </c>
      <c r="C198" s="22" t="s">
        <v>283</v>
      </c>
      <c r="D198" s="20"/>
      <c r="E198" s="20">
        <v>1976</v>
      </c>
      <c r="F198" s="23" t="str">
        <f t="shared" ref="F198:G198" si="137">IF(ISBLANK(D198),"",2025-D198)</f>
        <v/>
      </c>
      <c r="G198" s="20">
        <f t="shared" si="137"/>
        <v>49</v>
      </c>
      <c r="H198" s="20" t="s">
        <v>224</v>
      </c>
      <c r="I198" s="20"/>
      <c r="J198" s="14">
        <v>1</v>
      </c>
      <c r="K198" s="24"/>
      <c r="L198" s="24"/>
      <c r="M198" s="24"/>
      <c r="N198" s="25" t="s">
        <v>284</v>
      </c>
      <c r="O198" s="34" t="s">
        <v>64</v>
      </c>
      <c r="P198" s="20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5">
      <c r="A199" s="14">
        <f t="shared" si="12"/>
        <v>181</v>
      </c>
      <c r="B199" s="14">
        <v>19</v>
      </c>
      <c r="C199" s="22" t="s">
        <v>285</v>
      </c>
      <c r="D199" s="20"/>
      <c r="E199" s="20">
        <v>1978</v>
      </c>
      <c r="F199" s="23" t="str">
        <f t="shared" ref="F199:G199" si="138">IF(ISBLANK(D199),"",2025-D199)</f>
        <v/>
      </c>
      <c r="G199" s="20">
        <f t="shared" si="138"/>
        <v>47</v>
      </c>
      <c r="H199" s="20"/>
      <c r="I199" s="20"/>
      <c r="J199" s="14">
        <v>1</v>
      </c>
      <c r="K199" s="24"/>
      <c r="L199" s="24"/>
      <c r="M199" s="24"/>
      <c r="N199" s="36" t="s">
        <v>58</v>
      </c>
      <c r="O199" s="34" t="s">
        <v>64</v>
      </c>
      <c r="P199" s="20"/>
      <c r="Q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5">
      <c r="A200" s="14">
        <f t="shared" si="12"/>
        <v>182</v>
      </c>
      <c r="B200" s="14">
        <v>20</v>
      </c>
      <c r="C200" s="22" t="s">
        <v>286</v>
      </c>
      <c r="D200" s="20"/>
      <c r="E200" s="20">
        <v>1987</v>
      </c>
      <c r="F200" s="23" t="str">
        <f t="shared" ref="F200:G200" si="139">IF(ISBLANK(D200),"",2025-D200)</f>
        <v/>
      </c>
      <c r="G200" s="20">
        <f t="shared" si="139"/>
        <v>38</v>
      </c>
      <c r="H200" s="20"/>
      <c r="I200" s="20"/>
      <c r="J200" s="14">
        <v>1</v>
      </c>
      <c r="K200" s="24"/>
      <c r="L200" s="24"/>
      <c r="M200" s="24"/>
      <c r="N200" s="36" t="s">
        <v>58</v>
      </c>
      <c r="O200" s="34" t="s">
        <v>64</v>
      </c>
      <c r="P200" s="20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5">
      <c r="A201" s="14">
        <f t="shared" si="12"/>
        <v>183</v>
      </c>
      <c r="B201" s="14">
        <v>21</v>
      </c>
      <c r="C201" s="22" t="s">
        <v>287</v>
      </c>
      <c r="D201" s="20"/>
      <c r="E201" s="20">
        <v>1998</v>
      </c>
      <c r="F201" s="23" t="str">
        <f t="shared" ref="F201:G201" si="140">IF(ISBLANK(D201),"",2025-D201)</f>
        <v/>
      </c>
      <c r="G201" s="20">
        <f t="shared" si="140"/>
        <v>27</v>
      </c>
      <c r="H201" s="20"/>
      <c r="I201" s="20"/>
      <c r="J201" s="14">
        <v>1</v>
      </c>
      <c r="K201" s="24"/>
      <c r="L201" s="24"/>
      <c r="M201" s="24"/>
      <c r="N201" s="36" t="s">
        <v>58</v>
      </c>
      <c r="O201" s="34" t="s">
        <v>64</v>
      </c>
      <c r="P201" s="20"/>
      <c r="Q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5">
      <c r="A202" s="14">
        <f t="shared" si="12"/>
        <v>184</v>
      </c>
      <c r="B202" s="14">
        <v>22</v>
      </c>
      <c r="C202" s="22" t="s">
        <v>288</v>
      </c>
      <c r="D202" s="20"/>
      <c r="E202" s="20">
        <v>1999</v>
      </c>
      <c r="F202" s="23" t="str">
        <f t="shared" ref="F202:G202" si="141">IF(ISBLANK(D202),"",2025-D202)</f>
        <v/>
      </c>
      <c r="G202" s="20">
        <f t="shared" si="141"/>
        <v>26</v>
      </c>
      <c r="H202" s="20"/>
      <c r="I202" s="20"/>
      <c r="J202" s="14">
        <v>1</v>
      </c>
      <c r="K202" s="24"/>
      <c r="L202" s="24"/>
      <c r="M202" s="24"/>
      <c r="N202" s="36" t="s">
        <v>58</v>
      </c>
      <c r="O202" s="34" t="s">
        <v>64</v>
      </c>
      <c r="P202" s="20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5">
      <c r="A203" s="14">
        <f t="shared" si="12"/>
        <v>185</v>
      </c>
      <c r="B203" s="14">
        <v>23</v>
      </c>
      <c r="C203" s="22" t="s">
        <v>289</v>
      </c>
      <c r="D203" s="20"/>
      <c r="E203" s="20">
        <v>1990</v>
      </c>
      <c r="F203" s="23" t="str">
        <f t="shared" ref="F203:G203" si="142">IF(ISBLANK(D203),"",2025-D203)</f>
        <v/>
      </c>
      <c r="G203" s="20">
        <f t="shared" si="142"/>
        <v>35</v>
      </c>
      <c r="H203" s="20"/>
      <c r="I203" s="20"/>
      <c r="J203" s="14">
        <v>1</v>
      </c>
      <c r="K203" s="24"/>
      <c r="L203" s="24"/>
      <c r="M203" s="24"/>
      <c r="N203" s="36" t="s">
        <v>58</v>
      </c>
      <c r="O203" s="34" t="s">
        <v>64</v>
      </c>
      <c r="P203" s="20"/>
      <c r="Q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5">
      <c r="A204" s="14">
        <f t="shared" si="12"/>
        <v>186</v>
      </c>
      <c r="B204" s="14">
        <v>24</v>
      </c>
      <c r="C204" s="22" t="s">
        <v>290</v>
      </c>
      <c r="D204" s="20"/>
      <c r="E204" s="20">
        <v>1989</v>
      </c>
      <c r="F204" s="23" t="str">
        <f t="shared" ref="F204:G204" si="143">IF(ISBLANK(D204),"",2025-D204)</f>
        <v/>
      </c>
      <c r="G204" s="20">
        <f t="shared" si="143"/>
        <v>36</v>
      </c>
      <c r="H204" s="20"/>
      <c r="I204" s="20"/>
      <c r="J204" s="14">
        <v>1</v>
      </c>
      <c r="K204" s="24"/>
      <c r="L204" s="24"/>
      <c r="M204" s="24"/>
      <c r="N204" s="36" t="s">
        <v>58</v>
      </c>
      <c r="O204" s="34" t="s">
        <v>64</v>
      </c>
      <c r="P204" s="20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5">
      <c r="A205" s="14">
        <f t="shared" si="12"/>
        <v>187</v>
      </c>
      <c r="B205" s="14">
        <v>25</v>
      </c>
      <c r="C205" s="22" t="s">
        <v>291</v>
      </c>
      <c r="D205" s="20"/>
      <c r="E205" s="20">
        <v>1992</v>
      </c>
      <c r="F205" s="23" t="str">
        <f t="shared" ref="F205:G205" si="144">IF(ISBLANK(D205),"",2025-D205)</f>
        <v/>
      </c>
      <c r="G205" s="20">
        <f t="shared" si="144"/>
        <v>33</v>
      </c>
      <c r="H205" s="20"/>
      <c r="I205" s="20"/>
      <c r="J205" s="14">
        <v>1</v>
      </c>
      <c r="K205" s="24"/>
      <c r="L205" s="24"/>
      <c r="M205" s="24"/>
      <c r="N205" s="36" t="s">
        <v>58</v>
      </c>
      <c r="O205" s="34" t="s">
        <v>64</v>
      </c>
      <c r="P205" s="20"/>
      <c r="Q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25.5">
      <c r="A206" s="14">
        <f t="shared" si="12"/>
        <v>188</v>
      </c>
      <c r="B206" s="14">
        <v>26</v>
      </c>
      <c r="C206" s="22" t="s">
        <v>292</v>
      </c>
      <c r="D206" s="20"/>
      <c r="E206" s="20">
        <v>1996</v>
      </c>
      <c r="F206" s="23" t="str">
        <f t="shared" ref="F206:G206" si="145">IF(ISBLANK(D206),"",2025-D206)</f>
        <v/>
      </c>
      <c r="G206" s="20">
        <f t="shared" si="145"/>
        <v>29</v>
      </c>
      <c r="H206" s="20"/>
      <c r="I206" s="20"/>
      <c r="J206" s="14">
        <v>1</v>
      </c>
      <c r="K206" s="24"/>
      <c r="L206" s="24"/>
      <c r="M206" s="24"/>
      <c r="N206" s="20" t="s">
        <v>72</v>
      </c>
      <c r="O206" s="34" t="s">
        <v>59</v>
      </c>
      <c r="P206" s="20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25.5">
      <c r="A207" s="14">
        <f t="shared" si="12"/>
        <v>189</v>
      </c>
      <c r="B207" s="14">
        <v>27</v>
      </c>
      <c r="C207" s="22" t="s">
        <v>293</v>
      </c>
      <c r="D207" s="20"/>
      <c r="E207" s="20">
        <v>1996</v>
      </c>
      <c r="F207" s="23" t="str">
        <f t="shared" ref="F207:G207" si="146">IF(ISBLANK(D207),"",2025-D207)</f>
        <v/>
      </c>
      <c r="G207" s="20">
        <f t="shared" si="146"/>
        <v>29</v>
      </c>
      <c r="H207" s="20"/>
      <c r="I207" s="20"/>
      <c r="J207" s="14">
        <v>1</v>
      </c>
      <c r="K207" s="24"/>
      <c r="L207" s="24"/>
      <c r="M207" s="24"/>
      <c r="N207" s="20" t="s">
        <v>72</v>
      </c>
      <c r="O207" s="34" t="s">
        <v>59</v>
      </c>
      <c r="P207" s="20"/>
      <c r="Q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25.5">
      <c r="A208" s="14">
        <f t="shared" si="12"/>
        <v>190</v>
      </c>
      <c r="B208" s="14">
        <v>28</v>
      </c>
      <c r="C208" s="22" t="s">
        <v>294</v>
      </c>
      <c r="D208" s="20"/>
      <c r="E208" s="20">
        <v>1996</v>
      </c>
      <c r="F208" s="23" t="str">
        <f t="shared" ref="F208:G208" si="147">IF(ISBLANK(D208),"",2025-D208)</f>
        <v/>
      </c>
      <c r="G208" s="20">
        <f t="shared" si="147"/>
        <v>29</v>
      </c>
      <c r="H208" s="20"/>
      <c r="I208" s="20"/>
      <c r="J208" s="14">
        <v>1</v>
      </c>
      <c r="K208" s="24"/>
      <c r="L208" s="24"/>
      <c r="M208" s="24"/>
      <c r="N208" s="20" t="s">
        <v>72</v>
      </c>
      <c r="O208" s="34" t="s">
        <v>59</v>
      </c>
      <c r="P208" s="20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25.5">
      <c r="A209" s="14">
        <f t="shared" si="12"/>
        <v>191</v>
      </c>
      <c r="B209" s="14">
        <v>29</v>
      </c>
      <c r="C209" s="22" t="s">
        <v>295</v>
      </c>
      <c r="D209" s="20"/>
      <c r="E209" s="20">
        <v>1985</v>
      </c>
      <c r="F209" s="23" t="str">
        <f t="shared" ref="F209:G209" si="148">IF(ISBLANK(D209),"",2025-D209)</f>
        <v/>
      </c>
      <c r="G209" s="20">
        <f t="shared" si="148"/>
        <v>40</v>
      </c>
      <c r="H209" s="20"/>
      <c r="I209" s="20"/>
      <c r="J209" s="14">
        <v>1</v>
      </c>
      <c r="K209" s="24"/>
      <c r="L209" s="24"/>
      <c r="M209" s="24"/>
      <c r="N209" s="20" t="s">
        <v>72</v>
      </c>
      <c r="O209" s="34" t="s">
        <v>59</v>
      </c>
      <c r="P209" s="20"/>
      <c r="Q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25.5">
      <c r="A210" s="14">
        <f t="shared" si="12"/>
        <v>192</v>
      </c>
      <c r="B210" s="14">
        <v>30</v>
      </c>
      <c r="C210" s="22" t="s">
        <v>296</v>
      </c>
      <c r="D210" s="20"/>
      <c r="E210" s="20">
        <v>1988</v>
      </c>
      <c r="F210" s="23" t="str">
        <f t="shared" ref="F210:G210" si="149">IF(ISBLANK(D210),"",2025-D210)</f>
        <v/>
      </c>
      <c r="G210" s="20">
        <f t="shared" si="149"/>
        <v>37</v>
      </c>
      <c r="H210" s="20"/>
      <c r="I210" s="20"/>
      <c r="J210" s="14">
        <v>1</v>
      </c>
      <c r="K210" s="24"/>
      <c r="L210" s="24"/>
      <c r="M210" s="24"/>
      <c r="N210" s="20" t="s">
        <v>72</v>
      </c>
      <c r="O210" s="34" t="s">
        <v>59</v>
      </c>
      <c r="P210" s="20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25.5">
      <c r="A211" s="14">
        <f t="shared" si="12"/>
        <v>193</v>
      </c>
      <c r="B211" s="14">
        <v>31</v>
      </c>
      <c r="C211" s="22" t="s">
        <v>297</v>
      </c>
      <c r="D211" s="20"/>
      <c r="E211" s="20">
        <v>2002</v>
      </c>
      <c r="F211" s="23" t="str">
        <f t="shared" ref="F211:G211" si="150">IF(ISBLANK(D211),"",2025-D211)</f>
        <v/>
      </c>
      <c r="G211" s="20">
        <f t="shared" si="150"/>
        <v>23</v>
      </c>
      <c r="H211" s="20"/>
      <c r="I211" s="20"/>
      <c r="J211" s="14">
        <v>1</v>
      </c>
      <c r="K211" s="24"/>
      <c r="L211" s="24"/>
      <c r="M211" s="24"/>
      <c r="N211" s="20" t="s">
        <v>72</v>
      </c>
      <c r="O211" s="34" t="s">
        <v>59</v>
      </c>
      <c r="P211" s="20"/>
      <c r="Q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25.5">
      <c r="A212" s="14">
        <f t="shared" si="12"/>
        <v>194</v>
      </c>
      <c r="B212" s="14">
        <v>32</v>
      </c>
      <c r="C212" s="22" t="s">
        <v>298</v>
      </c>
      <c r="D212" s="20"/>
      <c r="E212" s="20">
        <v>1998</v>
      </c>
      <c r="F212" s="23" t="str">
        <f t="shared" ref="F212:G212" si="151">IF(ISBLANK(D212),"",2025-D212)</f>
        <v/>
      </c>
      <c r="G212" s="20">
        <f t="shared" si="151"/>
        <v>27</v>
      </c>
      <c r="H212" s="20"/>
      <c r="I212" s="20"/>
      <c r="J212" s="14">
        <v>1</v>
      </c>
      <c r="K212" s="24"/>
      <c r="L212" s="24"/>
      <c r="M212" s="24"/>
      <c r="N212" s="20" t="s">
        <v>72</v>
      </c>
      <c r="O212" s="34" t="s">
        <v>59</v>
      </c>
      <c r="P212" s="20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25.5">
      <c r="A213" s="14">
        <f t="shared" si="12"/>
        <v>195</v>
      </c>
      <c r="B213" s="14">
        <v>33</v>
      </c>
      <c r="C213" s="22" t="s">
        <v>299</v>
      </c>
      <c r="D213" s="20"/>
      <c r="E213" s="20">
        <v>1992</v>
      </c>
      <c r="F213" s="23" t="str">
        <f t="shared" ref="F213:G213" si="152">IF(ISBLANK(D213),"",2025-D213)</f>
        <v/>
      </c>
      <c r="G213" s="20">
        <f t="shared" si="152"/>
        <v>33</v>
      </c>
      <c r="H213" s="20"/>
      <c r="I213" s="20"/>
      <c r="J213" s="14">
        <v>1</v>
      </c>
      <c r="K213" s="24"/>
      <c r="L213" s="24"/>
      <c r="M213" s="24"/>
      <c r="N213" s="20" t="s">
        <v>72</v>
      </c>
      <c r="O213" s="34" t="s">
        <v>59</v>
      </c>
      <c r="P213" s="20"/>
      <c r="Q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5">
      <c r="A214" s="14" t="str">
        <f t="shared" si="12"/>
        <v/>
      </c>
      <c r="B214" s="14"/>
      <c r="C214" s="27" t="s">
        <v>300</v>
      </c>
      <c r="D214" s="18"/>
      <c r="E214" s="18"/>
      <c r="F214" s="23" t="str">
        <f t="shared" ref="F214:G214" si="153">IF(ISBLANK(D214),"",2025-D214)</f>
        <v/>
      </c>
      <c r="G214" s="20" t="str">
        <f t="shared" si="153"/>
        <v/>
      </c>
      <c r="H214" s="27"/>
      <c r="I214" s="27"/>
      <c r="J214" s="27"/>
      <c r="K214" s="27"/>
      <c r="L214" s="27"/>
      <c r="M214" s="27"/>
      <c r="N214" s="27"/>
      <c r="O214" s="35"/>
      <c r="P214" s="20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38.25">
      <c r="A215" s="14">
        <f t="shared" si="12"/>
        <v>196</v>
      </c>
      <c r="B215" s="14">
        <v>1</v>
      </c>
      <c r="C215" s="22" t="s">
        <v>301</v>
      </c>
      <c r="D215" s="20">
        <v>1965</v>
      </c>
      <c r="E215" s="20"/>
      <c r="F215" s="23">
        <f t="shared" ref="F215:G215" si="154">IF(ISBLANK(D215),"",2025-D215)</f>
        <v>60</v>
      </c>
      <c r="G215" s="20" t="str">
        <f t="shared" si="154"/>
        <v/>
      </c>
      <c r="H215" s="20" t="s">
        <v>117</v>
      </c>
      <c r="I215" s="20"/>
      <c r="J215" s="14">
        <v>1</v>
      </c>
      <c r="K215" s="24"/>
      <c r="L215" s="24"/>
      <c r="M215" s="24"/>
      <c r="N215" s="25" t="s">
        <v>302</v>
      </c>
      <c r="O215" s="26" t="s">
        <v>79</v>
      </c>
      <c r="P215" s="20"/>
      <c r="Q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38.25">
      <c r="A216" s="14">
        <f t="shared" si="12"/>
        <v>197</v>
      </c>
      <c r="B216" s="14">
        <v>2</v>
      </c>
      <c r="C216" s="22" t="s">
        <v>303</v>
      </c>
      <c r="D216" s="20">
        <v>1990</v>
      </c>
      <c r="E216" s="20"/>
      <c r="F216" s="23">
        <f t="shared" ref="F216:G216" si="155">IF(ISBLANK(D216),"",2025-D216)</f>
        <v>35</v>
      </c>
      <c r="G216" s="20" t="str">
        <f t="shared" si="155"/>
        <v/>
      </c>
      <c r="H216" s="20" t="s">
        <v>121</v>
      </c>
      <c r="I216" s="20"/>
      <c r="J216" s="14">
        <v>1</v>
      </c>
      <c r="K216" s="24"/>
      <c r="L216" s="24"/>
      <c r="M216" s="24"/>
      <c r="N216" s="25" t="s">
        <v>302</v>
      </c>
      <c r="O216" s="26" t="s">
        <v>79</v>
      </c>
      <c r="P216" s="20"/>
      <c r="Q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38.25">
      <c r="A217" s="14">
        <f t="shared" si="12"/>
        <v>198</v>
      </c>
      <c r="B217" s="14">
        <v>3</v>
      </c>
      <c r="C217" s="22" t="s">
        <v>304</v>
      </c>
      <c r="D217" s="20">
        <v>1994</v>
      </c>
      <c r="E217" s="20"/>
      <c r="F217" s="23">
        <f t="shared" ref="F217:G217" si="156">IF(ISBLANK(D217),"",2025-D217)</f>
        <v>31</v>
      </c>
      <c r="G217" s="20" t="str">
        <f t="shared" si="156"/>
        <v/>
      </c>
      <c r="H217" s="20"/>
      <c r="I217" s="20"/>
      <c r="J217" s="14">
        <v>1</v>
      </c>
      <c r="K217" s="24"/>
      <c r="L217" s="24"/>
      <c r="M217" s="24"/>
      <c r="N217" s="25" t="s">
        <v>302</v>
      </c>
      <c r="O217" s="26" t="s">
        <v>79</v>
      </c>
      <c r="P217" s="20"/>
      <c r="Q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38.25">
      <c r="A218" s="14">
        <f t="shared" si="12"/>
        <v>199</v>
      </c>
      <c r="B218" s="14">
        <v>4</v>
      </c>
      <c r="C218" s="22" t="s">
        <v>305</v>
      </c>
      <c r="D218" s="20">
        <v>1993</v>
      </c>
      <c r="E218" s="20"/>
      <c r="F218" s="23">
        <f t="shared" ref="F218:G218" si="157">IF(ISBLANK(D218),"",2025-D218)</f>
        <v>32</v>
      </c>
      <c r="G218" s="20" t="str">
        <f t="shared" si="157"/>
        <v/>
      </c>
      <c r="H218" s="20"/>
      <c r="I218" s="20"/>
      <c r="J218" s="14">
        <v>1</v>
      </c>
      <c r="K218" s="24"/>
      <c r="L218" s="24"/>
      <c r="M218" s="24"/>
      <c r="N218" s="25" t="s">
        <v>302</v>
      </c>
      <c r="O218" s="26" t="s">
        <v>79</v>
      </c>
      <c r="P218" s="20"/>
      <c r="Q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5">
      <c r="A219" s="14">
        <f t="shared" si="12"/>
        <v>200</v>
      </c>
      <c r="B219" s="14">
        <v>5</v>
      </c>
      <c r="C219" s="22" t="s">
        <v>306</v>
      </c>
      <c r="D219" s="20">
        <v>1996</v>
      </c>
      <c r="E219" s="20"/>
      <c r="F219" s="23">
        <f t="shared" ref="F219:G219" si="158">IF(ISBLANK(D219),"",2025-D219)</f>
        <v>29</v>
      </c>
      <c r="G219" s="20" t="str">
        <f t="shared" si="158"/>
        <v/>
      </c>
      <c r="H219" s="20"/>
      <c r="I219" s="20"/>
      <c r="J219" s="14">
        <v>1</v>
      </c>
      <c r="K219" s="24"/>
      <c r="L219" s="24"/>
      <c r="M219" s="24"/>
      <c r="N219" s="20" t="s">
        <v>163</v>
      </c>
      <c r="O219" s="26" t="s">
        <v>79</v>
      </c>
      <c r="P219" s="20"/>
      <c r="Q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5">
      <c r="A220" s="14">
        <f t="shared" si="12"/>
        <v>201</v>
      </c>
      <c r="B220" s="14">
        <v>6</v>
      </c>
      <c r="C220" s="22" t="s">
        <v>307</v>
      </c>
      <c r="D220" s="20">
        <v>1998</v>
      </c>
      <c r="E220" s="20"/>
      <c r="F220" s="23">
        <f t="shared" ref="F220:G220" si="159">IF(ISBLANK(D220),"",2025-D220)</f>
        <v>27</v>
      </c>
      <c r="G220" s="20" t="str">
        <f t="shared" si="159"/>
        <v/>
      </c>
      <c r="H220" s="20"/>
      <c r="I220" s="20"/>
      <c r="J220" s="14">
        <v>1</v>
      </c>
      <c r="K220" s="24"/>
      <c r="L220" s="24"/>
      <c r="M220" s="24"/>
      <c r="N220" s="20" t="s">
        <v>163</v>
      </c>
      <c r="O220" s="26" t="s">
        <v>79</v>
      </c>
      <c r="P220" s="20"/>
      <c r="Q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5">
      <c r="A221" s="14">
        <f t="shared" si="12"/>
        <v>202</v>
      </c>
      <c r="B221" s="14">
        <v>7</v>
      </c>
      <c r="C221" s="22" t="s">
        <v>308</v>
      </c>
      <c r="D221" s="20">
        <v>1998</v>
      </c>
      <c r="E221" s="20"/>
      <c r="F221" s="23">
        <f t="shared" ref="F221:G221" si="160">IF(ISBLANK(D221),"",2025-D221)</f>
        <v>27</v>
      </c>
      <c r="G221" s="20" t="str">
        <f t="shared" si="160"/>
        <v/>
      </c>
      <c r="H221" s="20"/>
      <c r="I221" s="20"/>
      <c r="J221" s="14">
        <v>1</v>
      </c>
      <c r="K221" s="24"/>
      <c r="L221" s="14"/>
      <c r="M221" s="24"/>
      <c r="N221" s="20" t="s">
        <v>163</v>
      </c>
      <c r="O221" s="26" t="s">
        <v>79</v>
      </c>
      <c r="P221" s="20"/>
      <c r="Q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5">
      <c r="A222" s="14">
        <f t="shared" si="12"/>
        <v>203</v>
      </c>
      <c r="B222" s="14">
        <v>8</v>
      </c>
      <c r="C222" s="22" t="s">
        <v>309</v>
      </c>
      <c r="D222" s="20">
        <v>1999</v>
      </c>
      <c r="E222" s="20"/>
      <c r="F222" s="23">
        <f t="shared" ref="F222:G222" si="161">IF(ISBLANK(D222),"",2025-D222)</f>
        <v>26</v>
      </c>
      <c r="G222" s="20" t="str">
        <f t="shared" si="161"/>
        <v/>
      </c>
      <c r="H222" s="20"/>
      <c r="I222" s="20"/>
      <c r="J222" s="14">
        <v>1</v>
      </c>
      <c r="K222" s="24"/>
      <c r="L222" s="14"/>
      <c r="M222" s="24"/>
      <c r="N222" s="20" t="s">
        <v>163</v>
      </c>
      <c r="O222" s="26" t="s">
        <v>79</v>
      </c>
      <c r="P222" s="20"/>
      <c r="Q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5">
      <c r="A223" s="14">
        <f t="shared" si="12"/>
        <v>204</v>
      </c>
      <c r="B223" s="14">
        <v>9</v>
      </c>
      <c r="C223" s="22" t="s">
        <v>310</v>
      </c>
      <c r="D223" s="20"/>
      <c r="E223" s="20">
        <v>1997</v>
      </c>
      <c r="F223" s="23" t="str">
        <f t="shared" ref="F223:G223" si="162">IF(ISBLANK(D223),"",2025-D223)</f>
        <v/>
      </c>
      <c r="G223" s="20">
        <f t="shared" si="162"/>
        <v>28</v>
      </c>
      <c r="H223" s="20"/>
      <c r="I223" s="20"/>
      <c r="J223" s="14">
        <v>1</v>
      </c>
      <c r="K223" s="54"/>
      <c r="L223" s="14"/>
      <c r="M223" s="54"/>
      <c r="N223" s="20" t="s">
        <v>163</v>
      </c>
      <c r="O223" s="26" t="s">
        <v>79</v>
      </c>
      <c r="P223" s="20"/>
      <c r="Q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38.25">
      <c r="A224" s="14">
        <f t="shared" si="12"/>
        <v>205</v>
      </c>
      <c r="B224" s="14">
        <v>10</v>
      </c>
      <c r="C224" s="22" t="s">
        <v>311</v>
      </c>
      <c r="D224" s="20"/>
      <c r="E224" s="20">
        <v>1992</v>
      </c>
      <c r="F224" s="23" t="str">
        <f t="shared" ref="F224:G224" si="163">IF(ISBLANK(D224),"",2025-D224)</f>
        <v/>
      </c>
      <c r="G224" s="20">
        <f t="shared" si="163"/>
        <v>33</v>
      </c>
      <c r="H224" s="20"/>
      <c r="I224" s="20"/>
      <c r="J224" s="14">
        <v>1</v>
      </c>
      <c r="K224" s="14"/>
      <c r="L224" s="14"/>
      <c r="M224" s="24"/>
      <c r="N224" s="25" t="s">
        <v>312</v>
      </c>
      <c r="O224" s="26" t="s">
        <v>79</v>
      </c>
      <c r="P224" s="20"/>
      <c r="Q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5">
      <c r="A225" s="14">
        <f t="shared" si="12"/>
        <v>206</v>
      </c>
      <c r="B225" s="14">
        <v>11</v>
      </c>
      <c r="C225" s="22" t="s">
        <v>313</v>
      </c>
      <c r="D225" s="20"/>
      <c r="E225" s="20">
        <v>1996</v>
      </c>
      <c r="F225" s="23" t="str">
        <f t="shared" ref="F225:G225" si="164">IF(ISBLANK(D225),"",2025-D225)</f>
        <v/>
      </c>
      <c r="G225" s="20">
        <f t="shared" si="164"/>
        <v>29</v>
      </c>
      <c r="H225" s="20"/>
      <c r="I225" s="20"/>
      <c r="J225" s="14">
        <v>1</v>
      </c>
      <c r="K225" s="54"/>
      <c r="L225" s="14"/>
      <c r="M225" s="24"/>
      <c r="N225" s="20" t="s">
        <v>163</v>
      </c>
      <c r="O225" s="26" t="s">
        <v>79</v>
      </c>
      <c r="P225" s="20"/>
      <c r="Q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25.5">
      <c r="A226" s="14">
        <f t="shared" si="12"/>
        <v>207</v>
      </c>
      <c r="B226" s="14">
        <v>12</v>
      </c>
      <c r="C226" s="22" t="s">
        <v>314</v>
      </c>
      <c r="D226" s="20"/>
      <c r="E226" s="20">
        <v>1979</v>
      </c>
      <c r="F226" s="23" t="str">
        <f t="shared" ref="F226:G226" si="165">IF(ISBLANK(D226),"",2025-D226)</f>
        <v/>
      </c>
      <c r="G226" s="20">
        <f t="shared" si="165"/>
        <v>46</v>
      </c>
      <c r="H226" s="20" t="s">
        <v>224</v>
      </c>
      <c r="I226" s="20"/>
      <c r="J226" s="14">
        <v>1</v>
      </c>
      <c r="K226" s="24"/>
      <c r="L226" s="24"/>
      <c r="M226" s="24"/>
      <c r="N226" s="36" t="s">
        <v>58</v>
      </c>
      <c r="O226" s="34" t="s">
        <v>64</v>
      </c>
      <c r="P226" s="20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5">
      <c r="A227" s="14">
        <f t="shared" si="12"/>
        <v>208</v>
      </c>
      <c r="B227" s="14">
        <v>13</v>
      </c>
      <c r="C227" s="22" t="s">
        <v>315</v>
      </c>
      <c r="D227" s="20"/>
      <c r="E227" s="20">
        <v>1989</v>
      </c>
      <c r="F227" s="23" t="str">
        <f t="shared" ref="F227:G227" si="166">IF(ISBLANK(D227),"",2025-D227)</f>
        <v/>
      </c>
      <c r="G227" s="20">
        <f t="shared" si="166"/>
        <v>36</v>
      </c>
      <c r="H227" s="20"/>
      <c r="I227" s="20"/>
      <c r="J227" s="14">
        <v>1</v>
      </c>
      <c r="K227" s="24"/>
      <c r="L227" s="24"/>
      <c r="M227" s="24"/>
      <c r="N227" s="36" t="s">
        <v>58</v>
      </c>
      <c r="O227" s="34" t="s">
        <v>64</v>
      </c>
      <c r="P227" s="20"/>
      <c r="Q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5">
      <c r="A228" s="14">
        <f t="shared" si="12"/>
        <v>209</v>
      </c>
      <c r="B228" s="14">
        <v>14</v>
      </c>
      <c r="C228" s="22" t="s">
        <v>316</v>
      </c>
      <c r="D228" s="20">
        <v>1991</v>
      </c>
      <c r="E228" s="20"/>
      <c r="F228" s="23">
        <f t="shared" ref="F228:G228" si="167">IF(ISBLANK(D228),"",2025-D228)</f>
        <v>34</v>
      </c>
      <c r="G228" s="20" t="str">
        <f t="shared" si="167"/>
        <v/>
      </c>
      <c r="H228" s="20"/>
      <c r="I228" s="20"/>
      <c r="J228" s="14">
        <v>1</v>
      </c>
      <c r="K228" s="24"/>
      <c r="L228" s="24"/>
      <c r="M228" s="24"/>
      <c r="N228" s="36" t="s">
        <v>58</v>
      </c>
      <c r="O228" s="34" t="s">
        <v>64</v>
      </c>
      <c r="P228" s="20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5">
      <c r="A229" s="14">
        <f t="shared" si="12"/>
        <v>210</v>
      </c>
      <c r="B229" s="14">
        <v>15</v>
      </c>
      <c r="C229" s="22" t="s">
        <v>317</v>
      </c>
      <c r="D229" s="20"/>
      <c r="E229" s="20">
        <v>1992</v>
      </c>
      <c r="F229" s="23" t="str">
        <f t="shared" ref="F229:G229" si="168">IF(ISBLANK(D229),"",2025-D229)</f>
        <v/>
      </c>
      <c r="G229" s="20">
        <f t="shared" si="168"/>
        <v>33</v>
      </c>
      <c r="H229" s="20"/>
      <c r="I229" s="20"/>
      <c r="J229" s="14">
        <v>1</v>
      </c>
      <c r="K229" s="24"/>
      <c r="L229" s="24"/>
      <c r="M229" s="24"/>
      <c r="N229" s="36" t="s">
        <v>58</v>
      </c>
      <c r="O229" s="34" t="s">
        <v>64</v>
      </c>
      <c r="P229" s="20"/>
      <c r="Q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5">
      <c r="A230" s="14">
        <f t="shared" si="12"/>
        <v>211</v>
      </c>
      <c r="B230" s="14">
        <v>16</v>
      </c>
      <c r="C230" s="22" t="s">
        <v>318</v>
      </c>
      <c r="D230" s="20"/>
      <c r="E230" s="20">
        <v>1999</v>
      </c>
      <c r="F230" s="23" t="str">
        <f t="shared" ref="F230:G230" si="169">IF(ISBLANK(D230),"",2025-D230)</f>
        <v/>
      </c>
      <c r="G230" s="20">
        <f t="shared" si="169"/>
        <v>26</v>
      </c>
      <c r="H230" s="20"/>
      <c r="I230" s="20"/>
      <c r="J230" s="14">
        <v>1</v>
      </c>
      <c r="K230" s="24"/>
      <c r="L230" s="24"/>
      <c r="M230" s="24"/>
      <c r="N230" s="36" t="s">
        <v>58</v>
      </c>
      <c r="O230" s="34" t="s">
        <v>64</v>
      </c>
      <c r="P230" s="20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5">
      <c r="A231" s="14">
        <f t="shared" si="12"/>
        <v>212</v>
      </c>
      <c r="B231" s="14">
        <v>17</v>
      </c>
      <c r="C231" s="22" t="s">
        <v>319</v>
      </c>
      <c r="D231" s="20"/>
      <c r="E231" s="20">
        <v>1999</v>
      </c>
      <c r="F231" s="23" t="str">
        <f t="shared" ref="F231:G231" si="170">IF(ISBLANK(D231),"",2025-D231)</f>
        <v/>
      </c>
      <c r="G231" s="20">
        <f t="shared" si="170"/>
        <v>26</v>
      </c>
      <c r="H231" s="20"/>
      <c r="I231" s="20"/>
      <c r="J231" s="14">
        <v>1</v>
      </c>
      <c r="K231" s="24"/>
      <c r="L231" s="24"/>
      <c r="M231" s="24"/>
      <c r="N231" s="36" t="s">
        <v>58</v>
      </c>
      <c r="O231" s="34" t="s">
        <v>64</v>
      </c>
      <c r="P231" s="20"/>
      <c r="Q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5">
      <c r="A232" s="14">
        <f t="shared" si="12"/>
        <v>213</v>
      </c>
      <c r="B232" s="14">
        <v>18</v>
      </c>
      <c r="C232" s="22" t="s">
        <v>320</v>
      </c>
      <c r="D232" s="20"/>
      <c r="E232" s="20">
        <v>1997</v>
      </c>
      <c r="F232" s="23" t="str">
        <f t="shared" ref="F232:G232" si="171">IF(ISBLANK(D232),"",2025-D232)</f>
        <v/>
      </c>
      <c r="G232" s="20">
        <f t="shared" si="171"/>
        <v>28</v>
      </c>
      <c r="H232" s="20"/>
      <c r="I232" s="20"/>
      <c r="J232" s="14">
        <v>1</v>
      </c>
      <c r="K232" s="24"/>
      <c r="L232" s="24"/>
      <c r="M232" s="24"/>
      <c r="N232" s="36" t="s">
        <v>58</v>
      </c>
      <c r="O232" s="34" t="s">
        <v>64</v>
      </c>
      <c r="P232" s="20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25.5">
      <c r="A233" s="14">
        <f t="shared" si="12"/>
        <v>214</v>
      </c>
      <c r="B233" s="14">
        <v>19</v>
      </c>
      <c r="C233" s="22" t="s">
        <v>321</v>
      </c>
      <c r="D233" s="20">
        <v>1994</v>
      </c>
      <c r="E233" s="20"/>
      <c r="F233" s="23">
        <f t="shared" ref="F233:G233" si="172">IF(ISBLANK(D233),"",2025-D233)</f>
        <v>31</v>
      </c>
      <c r="G233" s="20" t="str">
        <f t="shared" si="172"/>
        <v/>
      </c>
      <c r="H233" s="20"/>
      <c r="I233" s="20"/>
      <c r="J233" s="14">
        <v>1</v>
      </c>
      <c r="K233" s="24"/>
      <c r="L233" s="24"/>
      <c r="M233" s="24"/>
      <c r="N233" s="20" t="s">
        <v>72</v>
      </c>
      <c r="O233" s="34" t="s">
        <v>59</v>
      </c>
      <c r="P233" s="20"/>
      <c r="Q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25.5">
      <c r="A234" s="14">
        <f t="shared" si="12"/>
        <v>215</v>
      </c>
      <c r="B234" s="14">
        <v>20</v>
      </c>
      <c r="C234" s="22" t="s">
        <v>322</v>
      </c>
      <c r="D234" s="20"/>
      <c r="E234" s="20">
        <v>1993</v>
      </c>
      <c r="F234" s="23" t="str">
        <f t="shared" ref="F234:G234" si="173">IF(ISBLANK(D234),"",2025-D234)</f>
        <v/>
      </c>
      <c r="G234" s="20">
        <f t="shared" si="173"/>
        <v>32</v>
      </c>
      <c r="H234" s="20"/>
      <c r="I234" s="20"/>
      <c r="J234" s="14">
        <v>1</v>
      </c>
      <c r="K234" s="24"/>
      <c r="L234" s="24"/>
      <c r="M234" s="24"/>
      <c r="N234" s="20" t="s">
        <v>72</v>
      </c>
      <c r="O234" s="34" t="s">
        <v>59</v>
      </c>
      <c r="P234" s="20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25.5">
      <c r="A235" s="14">
        <f t="shared" si="12"/>
        <v>216</v>
      </c>
      <c r="B235" s="14">
        <v>21</v>
      </c>
      <c r="C235" s="22" t="s">
        <v>323</v>
      </c>
      <c r="D235" s="20"/>
      <c r="E235" s="20">
        <v>1995</v>
      </c>
      <c r="F235" s="23" t="str">
        <f t="shared" ref="F235:G235" si="174">IF(ISBLANK(D235),"",2025-D235)</f>
        <v/>
      </c>
      <c r="G235" s="20">
        <f t="shared" si="174"/>
        <v>30</v>
      </c>
      <c r="H235" s="20"/>
      <c r="I235" s="20"/>
      <c r="J235" s="14">
        <v>1</v>
      </c>
      <c r="K235" s="24"/>
      <c r="L235" s="24"/>
      <c r="M235" s="24"/>
      <c r="N235" s="20" t="s">
        <v>72</v>
      </c>
      <c r="O235" s="34" t="s">
        <v>59</v>
      </c>
      <c r="P235" s="20"/>
      <c r="Q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25.5">
      <c r="A236" s="14">
        <f t="shared" si="12"/>
        <v>217</v>
      </c>
      <c r="B236" s="14">
        <v>22</v>
      </c>
      <c r="C236" s="22" t="s">
        <v>324</v>
      </c>
      <c r="D236" s="20">
        <v>1986</v>
      </c>
      <c r="E236" s="20"/>
      <c r="F236" s="23">
        <f t="shared" ref="F236:G236" si="175">IF(ISBLANK(D236),"",2025-D236)</f>
        <v>39</v>
      </c>
      <c r="G236" s="20" t="str">
        <f t="shared" si="175"/>
        <v/>
      </c>
      <c r="H236" s="20"/>
      <c r="I236" s="20"/>
      <c r="J236" s="14">
        <v>1</v>
      </c>
      <c r="K236" s="24"/>
      <c r="L236" s="24"/>
      <c r="M236" s="24"/>
      <c r="N236" s="20" t="s">
        <v>72</v>
      </c>
      <c r="O236" s="34" t="s">
        <v>59</v>
      </c>
      <c r="P236" s="20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25.5">
      <c r="A237" s="14">
        <f t="shared" si="12"/>
        <v>218</v>
      </c>
      <c r="B237" s="14">
        <v>23</v>
      </c>
      <c r="C237" s="22" t="s">
        <v>325</v>
      </c>
      <c r="D237" s="20"/>
      <c r="E237" s="20">
        <v>1997</v>
      </c>
      <c r="F237" s="23" t="str">
        <f t="shared" ref="F237:G237" si="176">IF(ISBLANK(D237),"",2025-D237)</f>
        <v/>
      </c>
      <c r="G237" s="20">
        <f t="shared" si="176"/>
        <v>28</v>
      </c>
      <c r="H237" s="20"/>
      <c r="I237" s="20"/>
      <c r="J237" s="14">
        <v>1</v>
      </c>
      <c r="K237" s="24"/>
      <c r="L237" s="24"/>
      <c r="M237" s="24"/>
      <c r="N237" s="20" t="s">
        <v>72</v>
      </c>
      <c r="O237" s="34" t="s">
        <v>59</v>
      </c>
      <c r="P237" s="20"/>
      <c r="Q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5">
      <c r="A238" s="14">
        <f t="shared" si="12"/>
        <v>219</v>
      </c>
      <c r="B238" s="14">
        <v>24</v>
      </c>
      <c r="C238" s="22" t="s">
        <v>326</v>
      </c>
      <c r="D238" s="20"/>
      <c r="E238" s="20">
        <v>1980</v>
      </c>
      <c r="F238" s="23" t="str">
        <f t="shared" ref="F238:G238" si="177">IF(ISBLANK(D238),"",2025-D238)</f>
        <v/>
      </c>
      <c r="G238" s="20">
        <f t="shared" si="177"/>
        <v>45</v>
      </c>
      <c r="H238" s="20"/>
      <c r="I238" s="20"/>
      <c r="J238" s="14"/>
      <c r="K238" s="24">
        <v>1</v>
      </c>
      <c r="L238" s="24"/>
      <c r="M238" s="24"/>
      <c r="N238" s="20" t="s">
        <v>154</v>
      </c>
      <c r="O238" s="33" t="s">
        <v>154</v>
      </c>
      <c r="P238" s="20"/>
      <c r="Q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5">
      <c r="A239" s="14">
        <f t="shared" si="12"/>
        <v>220</v>
      </c>
      <c r="B239" s="14">
        <v>25</v>
      </c>
      <c r="C239" s="22" t="s">
        <v>327</v>
      </c>
      <c r="D239" s="20"/>
      <c r="E239" s="20">
        <v>1974</v>
      </c>
      <c r="F239" s="23" t="str">
        <f t="shared" ref="F239:G239" si="178">IF(ISBLANK(D239),"",2025-D239)</f>
        <v/>
      </c>
      <c r="G239" s="20">
        <f t="shared" si="178"/>
        <v>51</v>
      </c>
      <c r="H239" s="20"/>
      <c r="I239" s="20"/>
      <c r="J239" s="14"/>
      <c r="K239" s="24">
        <v>1</v>
      </c>
      <c r="L239" s="24"/>
      <c r="M239" s="24"/>
      <c r="N239" s="20" t="s">
        <v>154</v>
      </c>
      <c r="O239" s="33" t="s">
        <v>154</v>
      </c>
      <c r="P239" s="20"/>
      <c r="Q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31.5">
      <c r="A240" s="14" t="str">
        <f t="shared" si="12"/>
        <v/>
      </c>
      <c r="B240" s="14"/>
      <c r="C240" s="59" t="s">
        <v>328</v>
      </c>
      <c r="D240" s="20"/>
      <c r="E240" s="20"/>
      <c r="F240" s="23"/>
      <c r="G240" s="20"/>
      <c r="H240" s="20"/>
      <c r="I240" s="20"/>
      <c r="J240" s="14"/>
      <c r="K240" s="24"/>
      <c r="L240" s="24"/>
      <c r="M240" s="24"/>
      <c r="N240" s="20"/>
      <c r="O240" s="21"/>
      <c r="P240" s="20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38.25">
      <c r="A241" s="14">
        <f t="shared" si="12"/>
        <v>221</v>
      </c>
      <c r="B241" s="14">
        <v>1</v>
      </c>
      <c r="C241" s="22" t="s">
        <v>329</v>
      </c>
      <c r="D241" s="20">
        <v>1990</v>
      </c>
      <c r="E241" s="20"/>
      <c r="F241" s="23">
        <f t="shared" ref="F241:G241" si="179">IF(ISBLANK(D241),"",2025-D241)</f>
        <v>35</v>
      </c>
      <c r="G241" s="20" t="str">
        <f t="shared" si="179"/>
        <v/>
      </c>
      <c r="H241" s="20" t="s">
        <v>121</v>
      </c>
      <c r="I241" s="20"/>
      <c r="J241" s="14">
        <v>1</v>
      </c>
      <c r="K241" s="24"/>
      <c r="L241" s="24"/>
      <c r="M241" s="24"/>
      <c r="N241" s="25" t="s">
        <v>302</v>
      </c>
      <c r="O241" s="26" t="s">
        <v>79</v>
      </c>
      <c r="P241" s="20"/>
      <c r="Q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38.25">
      <c r="A242" s="14">
        <f t="shared" si="12"/>
        <v>222</v>
      </c>
      <c r="B242" s="14">
        <v>2</v>
      </c>
      <c r="C242" s="22" t="s">
        <v>330</v>
      </c>
      <c r="D242" s="20">
        <v>1967</v>
      </c>
      <c r="E242" s="20"/>
      <c r="F242" s="23">
        <f t="shared" ref="F242:G242" si="180">IF(ISBLANK(D242),"",2025-D242)</f>
        <v>58</v>
      </c>
      <c r="G242" s="20" t="str">
        <f t="shared" si="180"/>
        <v/>
      </c>
      <c r="H242" s="20"/>
      <c r="I242" s="20"/>
      <c r="J242" s="14">
        <v>1</v>
      </c>
      <c r="K242" s="24"/>
      <c r="L242" s="24"/>
      <c r="M242" s="24"/>
      <c r="N242" s="25" t="s">
        <v>302</v>
      </c>
      <c r="O242" s="26" t="s">
        <v>79</v>
      </c>
      <c r="P242" s="20"/>
      <c r="Q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5">
      <c r="A243" s="14">
        <f t="shared" si="12"/>
        <v>223</v>
      </c>
      <c r="B243" s="14">
        <v>3</v>
      </c>
      <c r="C243" s="22" t="s">
        <v>331</v>
      </c>
      <c r="D243" s="20">
        <v>1999</v>
      </c>
      <c r="E243" s="20"/>
      <c r="F243" s="23">
        <f t="shared" ref="F243:G243" si="181">IF(ISBLANK(D243),"",2025-D243)</f>
        <v>26</v>
      </c>
      <c r="G243" s="20" t="str">
        <f t="shared" si="181"/>
        <v/>
      </c>
      <c r="H243" s="20"/>
      <c r="I243" s="20"/>
      <c r="J243" s="14">
        <v>1</v>
      </c>
      <c r="K243" s="14"/>
      <c r="L243" s="24"/>
      <c r="M243" s="14"/>
      <c r="N243" s="20" t="s">
        <v>163</v>
      </c>
      <c r="O243" s="26" t="s">
        <v>79</v>
      </c>
      <c r="P243" s="20"/>
      <c r="Q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5">
      <c r="A244" s="14">
        <f t="shared" si="12"/>
        <v>224</v>
      </c>
      <c r="B244" s="14">
        <v>4</v>
      </c>
      <c r="C244" s="22" t="s">
        <v>332</v>
      </c>
      <c r="D244" s="20">
        <v>1999</v>
      </c>
      <c r="E244" s="20"/>
      <c r="F244" s="23">
        <f t="shared" ref="F244:G244" si="182">IF(ISBLANK(D244),"",2025-D244)</f>
        <v>26</v>
      </c>
      <c r="G244" s="20" t="str">
        <f t="shared" si="182"/>
        <v/>
      </c>
      <c r="H244" s="20"/>
      <c r="I244" s="20"/>
      <c r="J244" s="14">
        <v>1</v>
      </c>
      <c r="K244" s="24"/>
      <c r="L244" s="24"/>
      <c r="M244" s="24"/>
      <c r="N244" s="20" t="s">
        <v>163</v>
      </c>
      <c r="O244" s="26" t="s">
        <v>79</v>
      </c>
      <c r="P244" s="20"/>
      <c r="Q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38.25">
      <c r="A245" s="14">
        <f t="shared" si="12"/>
        <v>225</v>
      </c>
      <c r="B245" s="14">
        <v>5</v>
      </c>
      <c r="C245" s="22" t="s">
        <v>333</v>
      </c>
      <c r="D245" s="20">
        <v>1980</v>
      </c>
      <c r="E245" s="20"/>
      <c r="F245" s="23">
        <f t="shared" ref="F245:G245" si="183">IF(ISBLANK(D245),"",2025-D245)</f>
        <v>45</v>
      </c>
      <c r="G245" s="20" t="str">
        <f t="shared" si="183"/>
        <v/>
      </c>
      <c r="H245" s="20"/>
      <c r="I245" s="20"/>
      <c r="J245" s="14">
        <v>1</v>
      </c>
      <c r="K245" s="24"/>
      <c r="L245" s="24"/>
      <c r="M245" s="24"/>
      <c r="N245" s="44" t="s">
        <v>334</v>
      </c>
      <c r="O245" s="32" t="s">
        <v>165</v>
      </c>
      <c r="P245" s="20"/>
      <c r="Q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38.25">
      <c r="A246" s="14">
        <f t="shared" si="12"/>
        <v>226</v>
      </c>
      <c r="B246" s="14">
        <v>6</v>
      </c>
      <c r="C246" s="22" t="s">
        <v>335</v>
      </c>
      <c r="D246" s="20"/>
      <c r="E246" s="20">
        <v>1977</v>
      </c>
      <c r="F246" s="23" t="str">
        <f t="shared" ref="F246:G246" si="184">IF(ISBLANK(D246),"",2025-D246)</f>
        <v/>
      </c>
      <c r="G246" s="20">
        <f t="shared" si="184"/>
        <v>48</v>
      </c>
      <c r="H246" s="20"/>
      <c r="I246" s="20"/>
      <c r="J246" s="14">
        <v>1</v>
      </c>
      <c r="K246" s="24"/>
      <c r="L246" s="24"/>
      <c r="M246" s="24"/>
      <c r="N246" s="20" t="s">
        <v>336</v>
      </c>
      <c r="O246" s="32" t="s">
        <v>52</v>
      </c>
      <c r="P246" s="20"/>
      <c r="Q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38.25">
      <c r="A247" s="14">
        <f t="shared" si="12"/>
        <v>227</v>
      </c>
      <c r="B247" s="14">
        <v>7</v>
      </c>
      <c r="C247" s="22" t="s">
        <v>337</v>
      </c>
      <c r="D247" s="20"/>
      <c r="E247" s="20">
        <v>1981</v>
      </c>
      <c r="F247" s="23" t="str">
        <f t="shared" ref="F247:G247" si="185">IF(ISBLANK(D247),"",2025-D247)</f>
        <v/>
      </c>
      <c r="G247" s="20">
        <f t="shared" si="185"/>
        <v>44</v>
      </c>
      <c r="H247" s="20"/>
      <c r="I247" s="20"/>
      <c r="J247" s="14">
        <v>1</v>
      </c>
      <c r="K247" s="24"/>
      <c r="L247" s="24"/>
      <c r="M247" s="24"/>
      <c r="N247" s="20" t="s">
        <v>336</v>
      </c>
      <c r="O247" s="32" t="s">
        <v>52</v>
      </c>
      <c r="P247" s="20"/>
      <c r="Q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38.25">
      <c r="A248" s="14">
        <f t="shared" si="12"/>
        <v>228</v>
      </c>
      <c r="B248" s="14">
        <v>8</v>
      </c>
      <c r="C248" s="22" t="s">
        <v>338</v>
      </c>
      <c r="D248" s="20"/>
      <c r="E248" s="20">
        <v>1984</v>
      </c>
      <c r="F248" s="23" t="str">
        <f t="shared" ref="F248:G248" si="186">IF(ISBLANK(D248),"",2025-D248)</f>
        <v/>
      </c>
      <c r="G248" s="20">
        <f t="shared" si="186"/>
        <v>41</v>
      </c>
      <c r="H248" s="20"/>
      <c r="I248" s="20"/>
      <c r="J248" s="14">
        <v>1</v>
      </c>
      <c r="K248" s="24"/>
      <c r="L248" s="24"/>
      <c r="M248" s="24"/>
      <c r="N248" s="20" t="s">
        <v>336</v>
      </c>
      <c r="O248" s="34" t="s">
        <v>59</v>
      </c>
      <c r="P248" s="20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38.25">
      <c r="A249" s="14">
        <f t="shared" si="12"/>
        <v>229</v>
      </c>
      <c r="B249" s="14">
        <v>9</v>
      </c>
      <c r="C249" s="22" t="s">
        <v>339</v>
      </c>
      <c r="D249" s="20"/>
      <c r="E249" s="20">
        <v>1991</v>
      </c>
      <c r="F249" s="23" t="str">
        <f t="shared" ref="F249:G249" si="187">IF(ISBLANK(D249),"",2025-D249)</f>
        <v/>
      </c>
      <c r="G249" s="20">
        <f t="shared" si="187"/>
        <v>34</v>
      </c>
      <c r="H249" s="20"/>
      <c r="I249" s="20"/>
      <c r="J249" s="14">
        <v>1</v>
      </c>
      <c r="K249" s="24"/>
      <c r="L249" s="24"/>
      <c r="M249" s="24"/>
      <c r="N249" s="20" t="s">
        <v>336</v>
      </c>
      <c r="O249" s="34" t="s">
        <v>59</v>
      </c>
      <c r="P249" s="20"/>
      <c r="Q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25.5">
      <c r="A250" s="14">
        <f t="shared" si="12"/>
        <v>230</v>
      </c>
      <c r="B250" s="14">
        <v>10</v>
      </c>
      <c r="C250" s="22" t="s">
        <v>340</v>
      </c>
      <c r="D250" s="20"/>
      <c r="E250" s="20">
        <v>1995</v>
      </c>
      <c r="F250" s="23" t="str">
        <f t="shared" ref="F250:G250" si="188">IF(ISBLANK(D250),"",2025-D250)</f>
        <v/>
      </c>
      <c r="G250" s="20">
        <f t="shared" si="188"/>
        <v>30</v>
      </c>
      <c r="H250" s="20"/>
      <c r="I250" s="20"/>
      <c r="J250" s="14">
        <v>1</v>
      </c>
      <c r="K250" s="24"/>
      <c r="L250" s="24"/>
      <c r="M250" s="24"/>
      <c r="N250" s="20" t="s">
        <v>72</v>
      </c>
      <c r="O250" s="34" t="s">
        <v>59</v>
      </c>
      <c r="P250" s="20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5">
      <c r="A251" s="14">
        <f t="shared" si="12"/>
        <v>231</v>
      </c>
      <c r="B251" s="14">
        <v>11</v>
      </c>
      <c r="C251" s="22" t="s">
        <v>341</v>
      </c>
      <c r="D251" s="20"/>
      <c r="E251" s="20">
        <v>1983</v>
      </c>
      <c r="F251" s="23" t="str">
        <f t="shared" ref="F251:G251" si="189">IF(ISBLANK(D251),"",2025-D251)</f>
        <v/>
      </c>
      <c r="G251" s="20">
        <f t="shared" si="189"/>
        <v>42</v>
      </c>
      <c r="H251" s="20"/>
      <c r="I251" s="20"/>
      <c r="J251" s="14">
        <v>1</v>
      </c>
      <c r="K251" s="24"/>
      <c r="L251" s="24"/>
      <c r="M251" s="24"/>
      <c r="N251" s="36" t="s">
        <v>58</v>
      </c>
      <c r="O251" s="34" t="s">
        <v>64</v>
      </c>
      <c r="P251" s="20"/>
      <c r="Q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5">
      <c r="A252" s="14">
        <f t="shared" si="12"/>
        <v>232</v>
      </c>
      <c r="B252" s="14">
        <v>12</v>
      </c>
      <c r="C252" s="22" t="s">
        <v>342</v>
      </c>
      <c r="D252" s="20"/>
      <c r="E252" s="20">
        <v>1994</v>
      </c>
      <c r="F252" s="23" t="str">
        <f t="shared" ref="F252:G252" si="190">IF(ISBLANK(D252),"",2025-D252)</f>
        <v/>
      </c>
      <c r="G252" s="20">
        <f t="shared" si="190"/>
        <v>31</v>
      </c>
      <c r="H252" s="20"/>
      <c r="I252" s="20"/>
      <c r="J252" s="14">
        <v>1</v>
      </c>
      <c r="K252" s="24"/>
      <c r="L252" s="24"/>
      <c r="M252" s="24"/>
      <c r="N252" s="36" t="s">
        <v>58</v>
      </c>
      <c r="O252" s="34" t="s">
        <v>64</v>
      </c>
      <c r="P252" s="20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5">
      <c r="A253" s="14">
        <f t="shared" si="12"/>
        <v>233</v>
      </c>
      <c r="B253" s="14">
        <v>13</v>
      </c>
      <c r="C253" s="22" t="s">
        <v>343</v>
      </c>
      <c r="D253" s="20"/>
      <c r="E253" s="20">
        <v>1987</v>
      </c>
      <c r="F253" s="23" t="str">
        <f t="shared" ref="F253:G253" si="191">IF(ISBLANK(D253),"",2025-D253)</f>
        <v/>
      </c>
      <c r="G253" s="20">
        <f t="shared" si="191"/>
        <v>38</v>
      </c>
      <c r="H253" s="20"/>
      <c r="I253" s="20"/>
      <c r="J253" s="14">
        <v>1</v>
      </c>
      <c r="K253" s="24"/>
      <c r="L253" s="24"/>
      <c r="M253" s="24"/>
      <c r="N253" s="20" t="s">
        <v>58</v>
      </c>
      <c r="O253" s="34" t="s">
        <v>59</v>
      </c>
      <c r="P253" s="20"/>
      <c r="Q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25.5">
      <c r="A254" s="14">
        <f t="shared" si="12"/>
        <v>234</v>
      </c>
      <c r="B254" s="14">
        <v>14</v>
      </c>
      <c r="C254" s="22" t="s">
        <v>344</v>
      </c>
      <c r="D254" s="20"/>
      <c r="E254" s="20">
        <v>1994</v>
      </c>
      <c r="F254" s="23" t="str">
        <f t="shared" ref="F254:G254" si="192">IF(ISBLANK(D254),"",2025-D254)</f>
        <v/>
      </c>
      <c r="G254" s="20">
        <f t="shared" si="192"/>
        <v>31</v>
      </c>
      <c r="H254" s="20"/>
      <c r="I254" s="20"/>
      <c r="J254" s="14">
        <v>1</v>
      </c>
      <c r="K254" s="24"/>
      <c r="L254" s="24"/>
      <c r="M254" s="24"/>
      <c r="N254" s="20" t="s">
        <v>72</v>
      </c>
      <c r="O254" s="34" t="s">
        <v>59</v>
      </c>
      <c r="P254" s="20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5">
      <c r="A255" s="14">
        <f t="shared" si="12"/>
        <v>235</v>
      </c>
      <c r="B255" s="14">
        <v>15</v>
      </c>
      <c r="C255" s="22" t="s">
        <v>345</v>
      </c>
      <c r="D255" s="20"/>
      <c r="E255" s="20">
        <v>1975</v>
      </c>
      <c r="F255" s="23" t="str">
        <f t="shared" ref="F255:G255" si="193">IF(ISBLANK(D255),"",2025-D255)</f>
        <v/>
      </c>
      <c r="G255" s="20">
        <f t="shared" si="193"/>
        <v>50</v>
      </c>
      <c r="H255" s="20"/>
      <c r="I255" s="20"/>
      <c r="J255" s="14"/>
      <c r="K255" s="24">
        <v>1</v>
      </c>
      <c r="L255" s="24"/>
      <c r="M255" s="24"/>
      <c r="N255" s="20" t="s">
        <v>154</v>
      </c>
      <c r="O255" s="33" t="s">
        <v>154</v>
      </c>
      <c r="P255" s="20"/>
      <c r="Q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5">
      <c r="A256" s="14" t="str">
        <f t="shared" si="12"/>
        <v/>
      </c>
      <c r="B256" s="14"/>
      <c r="C256" s="27" t="s">
        <v>346</v>
      </c>
      <c r="D256" s="18"/>
      <c r="E256" s="18"/>
      <c r="F256" s="23" t="str">
        <f t="shared" ref="F256:G256" si="194">IF(ISBLANK(D256),"",2025-D256)</f>
        <v/>
      </c>
      <c r="G256" s="20" t="str">
        <f t="shared" si="194"/>
        <v/>
      </c>
      <c r="H256" s="27"/>
      <c r="I256" s="27"/>
      <c r="J256" s="27"/>
      <c r="K256" s="27"/>
      <c r="L256" s="27"/>
      <c r="M256" s="27"/>
      <c r="N256" s="27"/>
      <c r="O256" s="35"/>
      <c r="P256" s="20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38.25">
      <c r="A257" s="14">
        <f t="shared" si="12"/>
        <v>236</v>
      </c>
      <c r="B257" s="14">
        <v>1</v>
      </c>
      <c r="C257" s="22" t="s">
        <v>347</v>
      </c>
      <c r="D257" s="20"/>
      <c r="E257" s="20">
        <v>1978</v>
      </c>
      <c r="F257" s="23" t="str">
        <f t="shared" ref="F257:G257" si="195">IF(ISBLANK(D257),"",2025-D257)</f>
        <v/>
      </c>
      <c r="G257" s="20">
        <f t="shared" si="195"/>
        <v>47</v>
      </c>
      <c r="H257" s="20" t="s">
        <v>348</v>
      </c>
      <c r="I257" s="20" t="s">
        <v>24</v>
      </c>
      <c r="J257" s="14">
        <v>1</v>
      </c>
      <c r="K257" s="24"/>
      <c r="L257" s="24"/>
      <c r="M257" s="24"/>
      <c r="N257" s="25" t="s">
        <v>349</v>
      </c>
      <c r="O257" s="26" t="s">
        <v>26</v>
      </c>
      <c r="P257" s="20"/>
      <c r="Q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38.25">
      <c r="A258" s="14">
        <f t="shared" si="12"/>
        <v>237</v>
      </c>
      <c r="B258" s="14">
        <v>2</v>
      </c>
      <c r="C258" s="22" t="s">
        <v>350</v>
      </c>
      <c r="D258" s="20">
        <v>1984</v>
      </c>
      <c r="E258" s="20"/>
      <c r="F258" s="23">
        <f t="shared" ref="F258:G258" si="196">IF(ISBLANK(D258),"",2025-D258)</f>
        <v>41</v>
      </c>
      <c r="G258" s="20" t="str">
        <f t="shared" si="196"/>
        <v/>
      </c>
      <c r="H258" s="20"/>
      <c r="I258" s="20"/>
      <c r="J258" s="14">
        <v>1</v>
      </c>
      <c r="K258" s="24"/>
      <c r="L258" s="24"/>
      <c r="M258" s="24"/>
      <c r="N258" s="25" t="s">
        <v>349</v>
      </c>
      <c r="O258" s="26" t="s">
        <v>79</v>
      </c>
      <c r="P258" s="20"/>
      <c r="Q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38.25">
      <c r="A259" s="14">
        <f t="shared" si="12"/>
        <v>238</v>
      </c>
      <c r="B259" s="14">
        <v>3</v>
      </c>
      <c r="C259" s="22" t="s">
        <v>351</v>
      </c>
      <c r="D259" s="20">
        <v>1994</v>
      </c>
      <c r="E259" s="20"/>
      <c r="F259" s="23">
        <f t="shared" ref="F259:G259" si="197">IF(ISBLANK(D259),"",2025-D259)</f>
        <v>31</v>
      </c>
      <c r="G259" s="20" t="str">
        <f t="shared" si="197"/>
        <v/>
      </c>
      <c r="H259" s="20"/>
      <c r="I259" s="20"/>
      <c r="J259" s="14">
        <v>1</v>
      </c>
      <c r="K259" s="24"/>
      <c r="L259" s="24"/>
      <c r="M259" s="24"/>
      <c r="N259" s="25" t="s">
        <v>349</v>
      </c>
      <c r="O259" s="26" t="s">
        <v>79</v>
      </c>
      <c r="P259" s="20"/>
      <c r="Q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5">
      <c r="A260" s="14">
        <f t="shared" si="12"/>
        <v>239</v>
      </c>
      <c r="B260" s="14">
        <v>4</v>
      </c>
      <c r="C260" s="22" t="s">
        <v>352</v>
      </c>
      <c r="D260" s="20">
        <v>1997</v>
      </c>
      <c r="E260" s="20"/>
      <c r="F260" s="23">
        <f t="shared" ref="F260:G260" si="198">IF(ISBLANK(D260),"",2025-D260)</f>
        <v>28</v>
      </c>
      <c r="G260" s="20" t="str">
        <f t="shared" si="198"/>
        <v/>
      </c>
      <c r="H260" s="20"/>
      <c r="I260" s="20"/>
      <c r="J260" s="14">
        <v>1</v>
      </c>
      <c r="K260" s="24"/>
      <c r="L260" s="24"/>
      <c r="M260" s="24"/>
      <c r="N260" s="20" t="s">
        <v>163</v>
      </c>
      <c r="O260" s="26" t="s">
        <v>79</v>
      </c>
      <c r="P260" s="20"/>
      <c r="Q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5">
      <c r="A261" s="14">
        <f t="shared" si="12"/>
        <v>240</v>
      </c>
      <c r="B261" s="14">
        <v>5</v>
      </c>
      <c r="C261" s="22" t="s">
        <v>353</v>
      </c>
      <c r="D261" s="20"/>
      <c r="E261" s="20">
        <v>1998</v>
      </c>
      <c r="F261" s="23" t="str">
        <f t="shared" ref="F261:G261" si="199">IF(ISBLANK(D261),"",2025-D261)</f>
        <v/>
      </c>
      <c r="G261" s="20">
        <f t="shared" si="199"/>
        <v>27</v>
      </c>
      <c r="H261" s="20"/>
      <c r="I261" s="20"/>
      <c r="J261" s="14">
        <v>1</v>
      </c>
      <c r="K261" s="24"/>
      <c r="L261" s="24"/>
      <c r="M261" s="24"/>
      <c r="N261" s="20" t="s">
        <v>163</v>
      </c>
      <c r="O261" s="26" t="s">
        <v>79</v>
      </c>
      <c r="P261" s="20"/>
      <c r="Q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5">
      <c r="A262" s="14">
        <f t="shared" si="12"/>
        <v>241</v>
      </c>
      <c r="B262" s="14">
        <v>6</v>
      </c>
      <c r="C262" s="22" t="s">
        <v>354</v>
      </c>
      <c r="D262" s="20"/>
      <c r="E262" s="20">
        <v>1999</v>
      </c>
      <c r="F262" s="23" t="str">
        <f t="shared" ref="F262:G262" si="200">IF(ISBLANK(D262),"",2025-D262)</f>
        <v/>
      </c>
      <c r="G262" s="20">
        <f t="shared" si="200"/>
        <v>26</v>
      </c>
      <c r="H262" s="20"/>
      <c r="I262" s="20"/>
      <c r="J262" s="14">
        <v>1</v>
      </c>
      <c r="K262" s="24"/>
      <c r="L262" s="24"/>
      <c r="M262" s="24"/>
      <c r="N262" s="20" t="s">
        <v>163</v>
      </c>
      <c r="O262" s="26" t="s">
        <v>79</v>
      </c>
      <c r="P262" s="20"/>
      <c r="Q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5">
      <c r="A263" s="14">
        <f t="shared" si="12"/>
        <v>242</v>
      </c>
      <c r="B263" s="14">
        <v>7</v>
      </c>
      <c r="C263" s="22" t="s">
        <v>355</v>
      </c>
      <c r="D263" s="20"/>
      <c r="E263" s="20">
        <v>1999</v>
      </c>
      <c r="F263" s="23" t="str">
        <f t="shared" ref="F263:G263" si="201">IF(ISBLANK(D263),"",2025-D263)</f>
        <v/>
      </c>
      <c r="G263" s="20">
        <f t="shared" si="201"/>
        <v>26</v>
      </c>
      <c r="H263" s="20"/>
      <c r="I263" s="20"/>
      <c r="J263" s="14">
        <v>1</v>
      </c>
      <c r="K263" s="24"/>
      <c r="L263" s="24"/>
      <c r="M263" s="24"/>
      <c r="N263" s="20" t="s">
        <v>163</v>
      </c>
      <c r="O263" s="26" t="s">
        <v>79</v>
      </c>
      <c r="P263" s="20"/>
      <c r="Q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5">
      <c r="A264" s="14">
        <f t="shared" si="12"/>
        <v>243</v>
      </c>
      <c r="B264" s="14">
        <v>8</v>
      </c>
      <c r="C264" s="22" t="s">
        <v>356</v>
      </c>
      <c r="D264" s="20">
        <v>1997</v>
      </c>
      <c r="E264" s="20"/>
      <c r="F264" s="23">
        <f t="shared" ref="F264:G264" si="202">IF(ISBLANK(D264),"",2025-D264)</f>
        <v>28</v>
      </c>
      <c r="G264" s="20" t="str">
        <f t="shared" si="202"/>
        <v/>
      </c>
      <c r="H264" s="20"/>
      <c r="I264" s="20"/>
      <c r="J264" s="14">
        <v>1</v>
      </c>
      <c r="K264" s="24"/>
      <c r="L264" s="24"/>
      <c r="M264" s="24"/>
      <c r="N264" s="20" t="s">
        <v>163</v>
      </c>
      <c r="O264" s="26" t="s">
        <v>79</v>
      </c>
      <c r="P264" s="20"/>
      <c r="Q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38.25">
      <c r="A265" s="14">
        <f t="shared" si="12"/>
        <v>244</v>
      </c>
      <c r="B265" s="14">
        <v>9</v>
      </c>
      <c r="C265" s="53" t="s">
        <v>357</v>
      </c>
      <c r="D265" s="48"/>
      <c r="E265" s="48">
        <v>1966</v>
      </c>
      <c r="F265" s="23" t="str">
        <f t="shared" ref="F265:G265" si="203">IF(ISBLANK(D265),"",2025-D265)</f>
        <v/>
      </c>
      <c r="G265" s="20">
        <f t="shared" si="203"/>
        <v>59</v>
      </c>
      <c r="H265" s="48"/>
      <c r="I265" s="48"/>
      <c r="J265" s="46"/>
      <c r="K265" s="50"/>
      <c r="L265" s="50"/>
      <c r="M265" s="50">
        <v>1</v>
      </c>
      <c r="N265" s="25" t="s">
        <v>349</v>
      </c>
      <c r="O265" s="26" t="s">
        <v>79</v>
      </c>
      <c r="P265" s="20"/>
      <c r="Q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25.5">
      <c r="A266" s="14">
        <f t="shared" si="12"/>
        <v>245</v>
      </c>
      <c r="B266" s="14">
        <v>10</v>
      </c>
      <c r="C266" s="22" t="s">
        <v>358</v>
      </c>
      <c r="D266" s="20"/>
      <c r="E266" s="20">
        <v>1981</v>
      </c>
      <c r="F266" s="23" t="str">
        <f t="shared" ref="F266:G266" si="204">IF(ISBLANK(D266),"",2025-D266)</f>
        <v/>
      </c>
      <c r="G266" s="20">
        <f t="shared" si="204"/>
        <v>44</v>
      </c>
      <c r="H266" s="20" t="s">
        <v>359</v>
      </c>
      <c r="I266" s="20"/>
      <c r="J266" s="14">
        <v>1</v>
      </c>
      <c r="K266" s="24"/>
      <c r="L266" s="24"/>
      <c r="M266" s="24"/>
      <c r="N266" s="37" t="s">
        <v>66</v>
      </c>
      <c r="O266" s="38" t="s">
        <v>67</v>
      </c>
      <c r="P266" s="20"/>
      <c r="Q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5">
      <c r="A267" s="14">
        <f t="shared" si="12"/>
        <v>246</v>
      </c>
      <c r="B267" s="14">
        <v>11</v>
      </c>
      <c r="C267" s="22" t="s">
        <v>360</v>
      </c>
      <c r="D267" s="20"/>
      <c r="E267" s="20">
        <v>1976</v>
      </c>
      <c r="F267" s="23" t="str">
        <f t="shared" ref="F267:G267" si="205">IF(ISBLANK(D267),"",2025-D267)</f>
        <v/>
      </c>
      <c r="G267" s="20">
        <f t="shared" si="205"/>
        <v>49</v>
      </c>
      <c r="H267" s="20"/>
      <c r="I267" s="20"/>
      <c r="J267" s="14">
        <v>1</v>
      </c>
      <c r="K267" s="24"/>
      <c r="L267" s="24"/>
      <c r="M267" s="24"/>
      <c r="N267" s="37" t="s">
        <v>66</v>
      </c>
      <c r="O267" s="38" t="s">
        <v>67</v>
      </c>
      <c r="P267" s="20"/>
      <c r="Q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5">
      <c r="A268" s="14">
        <f t="shared" si="12"/>
        <v>247</v>
      </c>
      <c r="B268" s="14">
        <v>12</v>
      </c>
      <c r="C268" s="22" t="s">
        <v>361</v>
      </c>
      <c r="D268" s="20"/>
      <c r="E268" s="20">
        <v>1975</v>
      </c>
      <c r="F268" s="23" t="str">
        <f t="shared" ref="F268:G268" si="206">IF(ISBLANK(D268),"",2025-D268)</f>
        <v/>
      </c>
      <c r="G268" s="20">
        <f t="shared" si="206"/>
        <v>50</v>
      </c>
      <c r="H268" s="20"/>
      <c r="I268" s="20"/>
      <c r="J268" s="14">
        <v>1</v>
      </c>
      <c r="K268" s="24"/>
      <c r="L268" s="24"/>
      <c r="M268" s="24"/>
      <c r="N268" s="37" t="s">
        <v>66</v>
      </c>
      <c r="O268" s="38" t="s">
        <v>67</v>
      </c>
      <c r="P268" s="20"/>
      <c r="Q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5">
      <c r="A269" s="14">
        <f t="shared" si="12"/>
        <v>248</v>
      </c>
      <c r="B269" s="14">
        <v>13</v>
      </c>
      <c r="C269" s="22" t="s">
        <v>362</v>
      </c>
      <c r="D269" s="20"/>
      <c r="E269" s="20">
        <v>1972</v>
      </c>
      <c r="F269" s="23" t="str">
        <f t="shared" ref="F269:G269" si="207">IF(ISBLANK(D269),"",2025-D269)</f>
        <v/>
      </c>
      <c r="G269" s="20">
        <f t="shared" si="207"/>
        <v>53</v>
      </c>
      <c r="H269" s="20"/>
      <c r="I269" s="20"/>
      <c r="J269" s="14">
        <v>1</v>
      </c>
      <c r="K269" s="24"/>
      <c r="L269" s="24"/>
      <c r="M269" s="24"/>
      <c r="N269" s="37" t="s">
        <v>66</v>
      </c>
      <c r="O269" s="38" t="s">
        <v>67</v>
      </c>
      <c r="P269" s="20"/>
      <c r="Q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5">
      <c r="A270" s="14">
        <f t="shared" si="12"/>
        <v>249</v>
      </c>
      <c r="B270" s="14">
        <v>14</v>
      </c>
      <c r="C270" s="22" t="s">
        <v>363</v>
      </c>
      <c r="D270" s="20"/>
      <c r="E270" s="20">
        <v>1969</v>
      </c>
      <c r="F270" s="23" t="str">
        <f t="shared" ref="F270:G270" si="208">IF(ISBLANK(D270),"",2025-D270)</f>
        <v/>
      </c>
      <c r="G270" s="20">
        <f t="shared" si="208"/>
        <v>56</v>
      </c>
      <c r="H270" s="20"/>
      <c r="I270" s="20"/>
      <c r="J270" s="14">
        <v>1</v>
      </c>
      <c r="K270" s="24"/>
      <c r="L270" s="24"/>
      <c r="M270" s="24"/>
      <c r="N270" s="37" t="s">
        <v>66</v>
      </c>
      <c r="O270" s="38" t="s">
        <v>67</v>
      </c>
      <c r="P270" s="20"/>
      <c r="Q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5">
      <c r="A271" s="14">
        <f t="shared" si="12"/>
        <v>250</v>
      </c>
      <c r="B271" s="14">
        <v>15</v>
      </c>
      <c r="C271" s="22" t="s">
        <v>364</v>
      </c>
      <c r="D271" s="20"/>
      <c r="E271" s="20">
        <v>1993</v>
      </c>
      <c r="F271" s="23" t="str">
        <f t="shared" ref="F271:G271" si="209">IF(ISBLANK(D271),"",2025-D271)</f>
        <v/>
      </c>
      <c r="G271" s="20">
        <f t="shared" si="209"/>
        <v>32</v>
      </c>
      <c r="H271" s="20"/>
      <c r="I271" s="20"/>
      <c r="J271" s="14">
        <v>1</v>
      </c>
      <c r="K271" s="24"/>
      <c r="L271" s="24"/>
      <c r="M271" s="24"/>
      <c r="N271" s="37" t="s">
        <v>66</v>
      </c>
      <c r="O271" s="38" t="s">
        <v>67</v>
      </c>
      <c r="P271" s="20"/>
      <c r="Q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5">
      <c r="A272" s="14">
        <f t="shared" si="12"/>
        <v>251</v>
      </c>
      <c r="B272" s="14">
        <v>16</v>
      </c>
      <c r="C272" s="22" t="s">
        <v>365</v>
      </c>
      <c r="D272" s="20"/>
      <c r="E272" s="20">
        <v>1996</v>
      </c>
      <c r="F272" s="23" t="str">
        <f t="shared" ref="F272:G272" si="210">IF(ISBLANK(D272),"",2025-D272)</f>
        <v/>
      </c>
      <c r="G272" s="20">
        <f t="shared" si="210"/>
        <v>29</v>
      </c>
      <c r="H272" s="20"/>
      <c r="I272" s="20"/>
      <c r="J272" s="14">
        <v>1</v>
      </c>
      <c r="K272" s="24"/>
      <c r="L272" s="24"/>
      <c r="M272" s="24"/>
      <c r="N272" s="37" t="s">
        <v>66</v>
      </c>
      <c r="O272" s="38" t="s">
        <v>366</v>
      </c>
      <c r="P272" s="20"/>
      <c r="Q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5">
      <c r="A273" s="14">
        <f t="shared" si="12"/>
        <v>252</v>
      </c>
      <c r="B273" s="14">
        <v>17</v>
      </c>
      <c r="C273" s="22" t="s">
        <v>367</v>
      </c>
      <c r="D273" s="20"/>
      <c r="E273" s="20">
        <v>1988</v>
      </c>
      <c r="F273" s="23" t="str">
        <f t="shared" ref="F273:G273" si="211">IF(ISBLANK(D273),"",2025-D273)</f>
        <v/>
      </c>
      <c r="G273" s="20">
        <f t="shared" si="211"/>
        <v>37</v>
      </c>
      <c r="H273" s="20"/>
      <c r="I273" s="20"/>
      <c r="J273" s="14">
        <v>1</v>
      </c>
      <c r="K273" s="24"/>
      <c r="L273" s="24"/>
      <c r="M273" s="24"/>
      <c r="N273" s="37" t="s">
        <v>66</v>
      </c>
      <c r="O273" s="38" t="s">
        <v>366</v>
      </c>
      <c r="P273" s="20"/>
      <c r="Q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5">
      <c r="A274" s="14">
        <f t="shared" si="12"/>
        <v>253</v>
      </c>
      <c r="B274" s="14">
        <v>18</v>
      </c>
      <c r="C274" s="22" t="s">
        <v>368</v>
      </c>
      <c r="D274" s="20"/>
      <c r="E274" s="20">
        <v>1989</v>
      </c>
      <c r="F274" s="23" t="str">
        <f t="shared" ref="F274:G274" si="212">IF(ISBLANK(D274),"",2025-D274)</f>
        <v/>
      </c>
      <c r="G274" s="20">
        <f t="shared" si="212"/>
        <v>36</v>
      </c>
      <c r="H274" s="20"/>
      <c r="I274" s="20"/>
      <c r="J274" s="14">
        <v>1</v>
      </c>
      <c r="K274" s="24"/>
      <c r="L274" s="24"/>
      <c r="M274" s="24"/>
      <c r="N274" s="37" t="s">
        <v>66</v>
      </c>
      <c r="O274" s="38" t="s">
        <v>366</v>
      </c>
      <c r="P274" s="20"/>
      <c r="Q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5">
      <c r="A275" s="14">
        <f t="shared" si="12"/>
        <v>254</v>
      </c>
      <c r="B275" s="14">
        <v>19</v>
      </c>
      <c r="C275" s="22" t="s">
        <v>369</v>
      </c>
      <c r="D275" s="20"/>
      <c r="E275" s="20">
        <v>1989</v>
      </c>
      <c r="F275" s="23" t="str">
        <f t="shared" ref="F275:G275" si="213">IF(ISBLANK(D275),"",2025-D275)</f>
        <v/>
      </c>
      <c r="G275" s="20">
        <f t="shared" si="213"/>
        <v>36</v>
      </c>
      <c r="H275" s="20"/>
      <c r="I275" s="20"/>
      <c r="J275" s="14">
        <v>1</v>
      </c>
      <c r="K275" s="24"/>
      <c r="L275" s="24"/>
      <c r="M275" s="24"/>
      <c r="N275" s="37" t="s">
        <v>66</v>
      </c>
      <c r="O275" s="38" t="s">
        <v>366</v>
      </c>
      <c r="P275" s="20"/>
      <c r="Q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5">
      <c r="A276" s="14">
        <f t="shared" si="12"/>
        <v>255</v>
      </c>
      <c r="B276" s="14">
        <v>20</v>
      </c>
      <c r="C276" s="60" t="s">
        <v>370</v>
      </c>
      <c r="D276" s="61"/>
      <c r="E276" s="61">
        <v>1998</v>
      </c>
      <c r="F276" s="23" t="str">
        <f t="shared" ref="F276:G276" si="214">IF(ISBLANK(D276),"",2025-D276)</f>
        <v/>
      </c>
      <c r="G276" s="20">
        <f t="shared" si="214"/>
        <v>27</v>
      </c>
      <c r="H276" s="61"/>
      <c r="I276" s="61"/>
      <c r="J276" s="62">
        <v>1</v>
      </c>
      <c r="K276" s="63"/>
      <c r="L276" s="63"/>
      <c r="M276" s="63"/>
      <c r="N276" s="20" t="s">
        <v>371</v>
      </c>
      <c r="O276" s="38" t="s">
        <v>366</v>
      </c>
      <c r="P276" s="20"/>
      <c r="Q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5">
      <c r="A277" s="14">
        <f t="shared" si="12"/>
        <v>256</v>
      </c>
      <c r="B277" s="14">
        <v>21</v>
      </c>
      <c r="C277" s="22" t="s">
        <v>372</v>
      </c>
      <c r="D277" s="20"/>
      <c r="E277" s="20">
        <v>1993</v>
      </c>
      <c r="F277" s="23" t="str">
        <f t="shared" ref="F277:G277" si="215">IF(ISBLANK(D277),"",2025-D277)</f>
        <v/>
      </c>
      <c r="G277" s="20">
        <f t="shared" si="215"/>
        <v>32</v>
      </c>
      <c r="H277" s="20"/>
      <c r="I277" s="20"/>
      <c r="J277" s="14">
        <v>1</v>
      </c>
      <c r="K277" s="24"/>
      <c r="L277" s="24"/>
      <c r="M277" s="24"/>
      <c r="N277" s="20" t="s">
        <v>371</v>
      </c>
      <c r="O277" s="38" t="s">
        <v>366</v>
      </c>
      <c r="P277" s="20"/>
      <c r="Q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5">
      <c r="A278" s="14">
        <f t="shared" si="12"/>
        <v>257</v>
      </c>
      <c r="B278" s="14">
        <v>22</v>
      </c>
      <c r="C278" s="22" t="s">
        <v>373</v>
      </c>
      <c r="D278" s="20"/>
      <c r="E278" s="20">
        <v>1997</v>
      </c>
      <c r="F278" s="23" t="str">
        <f t="shared" ref="F278:G278" si="216">IF(ISBLANK(D278),"",2025-D278)</f>
        <v/>
      </c>
      <c r="G278" s="20">
        <f t="shared" si="216"/>
        <v>28</v>
      </c>
      <c r="H278" s="20"/>
      <c r="I278" s="20"/>
      <c r="J278" s="14">
        <v>1</v>
      </c>
      <c r="K278" s="24"/>
      <c r="L278" s="24"/>
      <c r="M278" s="24"/>
      <c r="N278" s="20" t="s">
        <v>371</v>
      </c>
      <c r="O278" s="38" t="s">
        <v>366</v>
      </c>
      <c r="P278" s="20"/>
      <c r="Q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5">
      <c r="A279" s="14">
        <f t="shared" si="12"/>
        <v>258</v>
      </c>
      <c r="B279" s="14">
        <v>23</v>
      </c>
      <c r="C279" s="22" t="s">
        <v>374</v>
      </c>
      <c r="D279" s="20"/>
      <c r="E279" s="20">
        <v>1996</v>
      </c>
      <c r="F279" s="23" t="str">
        <f t="shared" ref="F279:G279" si="217">IF(ISBLANK(D279),"",2025-D279)</f>
        <v/>
      </c>
      <c r="G279" s="20">
        <f t="shared" si="217"/>
        <v>29</v>
      </c>
      <c r="H279" s="20"/>
      <c r="I279" s="20"/>
      <c r="J279" s="14">
        <v>1</v>
      </c>
      <c r="K279" s="24"/>
      <c r="L279" s="24"/>
      <c r="M279" s="24"/>
      <c r="N279" s="20" t="s">
        <v>371</v>
      </c>
      <c r="O279" s="38" t="s">
        <v>366</v>
      </c>
      <c r="P279" s="20"/>
      <c r="Q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5">
      <c r="A280" s="14">
        <f t="shared" si="12"/>
        <v>259</v>
      </c>
      <c r="B280" s="14">
        <v>24</v>
      </c>
      <c r="C280" s="22" t="s">
        <v>375</v>
      </c>
      <c r="D280" s="20"/>
      <c r="E280" s="20">
        <v>1978</v>
      </c>
      <c r="F280" s="23" t="str">
        <f t="shared" ref="F280:G280" si="218">IF(ISBLANK(D280),"",2025-D280)</f>
        <v/>
      </c>
      <c r="G280" s="20">
        <f t="shared" si="218"/>
        <v>47</v>
      </c>
      <c r="H280" s="20"/>
      <c r="I280" s="20"/>
      <c r="J280" s="14">
        <v>1</v>
      </c>
      <c r="K280" s="24"/>
      <c r="L280" s="24"/>
      <c r="M280" s="24"/>
      <c r="N280" s="20" t="s">
        <v>371</v>
      </c>
      <c r="O280" s="38" t="s">
        <v>366</v>
      </c>
      <c r="P280" s="20"/>
      <c r="Q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5">
      <c r="A281" s="14">
        <f t="shared" si="12"/>
        <v>260</v>
      </c>
      <c r="B281" s="14">
        <v>25</v>
      </c>
      <c r="C281" s="22" t="s">
        <v>376</v>
      </c>
      <c r="D281" s="20"/>
      <c r="E281" s="20">
        <v>1975</v>
      </c>
      <c r="F281" s="23" t="str">
        <f t="shared" ref="F281:G281" si="219">IF(ISBLANK(D281),"",2025-D281)</f>
        <v/>
      </c>
      <c r="G281" s="20">
        <f t="shared" si="219"/>
        <v>50</v>
      </c>
      <c r="H281" s="20"/>
      <c r="I281" s="20"/>
      <c r="J281" s="14"/>
      <c r="K281" s="14">
        <v>1</v>
      </c>
      <c r="L281" s="54"/>
      <c r="M281" s="54"/>
      <c r="N281" s="20" t="s">
        <v>154</v>
      </c>
      <c r="O281" s="33" t="s">
        <v>154</v>
      </c>
      <c r="P281" s="20"/>
      <c r="Q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>
      <c r="A282" s="14" t="str">
        <f t="shared" si="12"/>
        <v/>
      </c>
      <c r="B282" s="14"/>
      <c r="C282" s="64" t="s">
        <v>377</v>
      </c>
      <c r="D282" s="64"/>
      <c r="E282" s="64"/>
      <c r="F282" s="23" t="str">
        <f t="shared" ref="F282:G282" si="220">IF(ISBLANK(D282),"",2025-D282)</f>
        <v/>
      </c>
      <c r="G282" s="20" t="str">
        <f t="shared" si="220"/>
        <v/>
      </c>
      <c r="H282" s="64"/>
      <c r="I282" s="64"/>
      <c r="J282" s="64"/>
      <c r="K282" s="64"/>
      <c r="L282" s="64"/>
      <c r="M282" s="64"/>
      <c r="N282" s="64"/>
      <c r="O282" s="21"/>
      <c r="P282" s="20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27" customHeight="1">
      <c r="A283" s="14">
        <f t="shared" si="12"/>
        <v>261</v>
      </c>
      <c r="B283" s="14">
        <v>1</v>
      </c>
      <c r="C283" s="22" t="s">
        <v>378</v>
      </c>
      <c r="D283" s="20"/>
      <c r="E283" s="20">
        <v>1995</v>
      </c>
      <c r="F283" s="23" t="str">
        <f t="shared" ref="F283:G283" si="221">IF(ISBLANK(D283),"",2025-D283)</f>
        <v/>
      </c>
      <c r="G283" s="20">
        <f t="shared" si="221"/>
        <v>30</v>
      </c>
      <c r="H283" s="20"/>
      <c r="I283" s="20"/>
      <c r="J283" s="14">
        <v>1</v>
      </c>
      <c r="K283" s="24"/>
      <c r="L283" s="24"/>
      <c r="M283" s="24"/>
      <c r="N283" s="20" t="s">
        <v>379</v>
      </c>
      <c r="O283" s="26" t="s">
        <v>79</v>
      </c>
      <c r="P283" s="20"/>
      <c r="Q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27" customHeight="1">
      <c r="A284" s="14">
        <f t="shared" si="12"/>
        <v>262</v>
      </c>
      <c r="B284" s="14">
        <v>2</v>
      </c>
      <c r="C284" s="22" t="s">
        <v>380</v>
      </c>
      <c r="D284" s="20"/>
      <c r="E284" s="20">
        <v>1973</v>
      </c>
      <c r="F284" s="23" t="str">
        <f t="shared" ref="F284:G284" si="222">IF(ISBLANK(D284),"",2025-D284)</f>
        <v/>
      </c>
      <c r="G284" s="20">
        <f t="shared" si="222"/>
        <v>52</v>
      </c>
      <c r="H284" s="20"/>
      <c r="I284" s="20"/>
      <c r="J284" s="14">
        <v>1</v>
      </c>
      <c r="K284" s="24"/>
      <c r="L284" s="24"/>
      <c r="M284" s="24"/>
      <c r="N284" s="20" t="s">
        <v>371</v>
      </c>
      <c r="O284" s="38" t="s">
        <v>366</v>
      </c>
      <c r="P284" s="20"/>
      <c r="Q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27" customHeight="1">
      <c r="A285" s="14">
        <f t="shared" si="12"/>
        <v>263</v>
      </c>
      <c r="B285" s="14">
        <v>3</v>
      </c>
      <c r="C285" s="22" t="s">
        <v>381</v>
      </c>
      <c r="D285" s="20"/>
      <c r="E285" s="20">
        <v>1990</v>
      </c>
      <c r="F285" s="23" t="str">
        <f t="shared" ref="F285:G285" si="223">IF(ISBLANK(D285),"",2025-D285)</f>
        <v/>
      </c>
      <c r="G285" s="20">
        <f t="shared" si="223"/>
        <v>35</v>
      </c>
      <c r="H285" s="20"/>
      <c r="I285" s="20"/>
      <c r="J285" s="14">
        <v>1</v>
      </c>
      <c r="K285" s="24"/>
      <c r="L285" s="24"/>
      <c r="M285" s="24"/>
      <c r="N285" s="20" t="s">
        <v>371</v>
      </c>
      <c r="O285" s="38" t="s">
        <v>366</v>
      </c>
      <c r="P285" s="20"/>
      <c r="Q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27" customHeight="1">
      <c r="A286" s="14" t="str">
        <f t="shared" si="12"/>
        <v/>
      </c>
      <c r="B286" s="14"/>
      <c r="C286" s="27" t="s">
        <v>382</v>
      </c>
      <c r="D286" s="18"/>
      <c r="E286" s="18"/>
      <c r="F286" s="23" t="str">
        <f t="shared" ref="F286:G286" si="224">IF(ISBLANK(D286),"",2025-D286)</f>
        <v/>
      </c>
      <c r="G286" s="20" t="str">
        <f t="shared" si="224"/>
        <v/>
      </c>
      <c r="H286" s="27"/>
      <c r="I286" s="27"/>
      <c r="J286" s="27"/>
      <c r="K286" s="27"/>
      <c r="L286" s="27"/>
      <c r="M286" s="27"/>
      <c r="N286" s="27"/>
      <c r="O286" s="35"/>
      <c r="P286" s="20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38.25">
      <c r="A287" s="14">
        <f t="shared" si="12"/>
        <v>264</v>
      </c>
      <c r="B287" s="14">
        <v>1</v>
      </c>
      <c r="C287" s="22" t="s">
        <v>383</v>
      </c>
      <c r="D287" s="20"/>
      <c r="E287" s="20">
        <v>1991</v>
      </c>
      <c r="F287" s="23" t="str">
        <f t="shared" ref="F287:G287" si="225">IF(ISBLANK(D287),"",2025-D287)</f>
        <v/>
      </c>
      <c r="G287" s="20">
        <f t="shared" si="225"/>
        <v>34</v>
      </c>
      <c r="H287" s="20"/>
      <c r="I287" s="20"/>
      <c r="J287" s="14">
        <v>1</v>
      </c>
      <c r="K287" s="14"/>
      <c r="L287" s="24"/>
      <c r="M287" s="14"/>
      <c r="N287" s="25" t="s">
        <v>210</v>
      </c>
      <c r="O287" s="26" t="s">
        <v>79</v>
      </c>
      <c r="P287" s="20"/>
      <c r="Q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38.25">
      <c r="A288" s="14">
        <f t="shared" si="12"/>
        <v>265</v>
      </c>
      <c r="B288" s="14">
        <v>2</v>
      </c>
      <c r="C288" s="22" t="s">
        <v>384</v>
      </c>
      <c r="D288" s="20">
        <v>1994</v>
      </c>
      <c r="E288" s="20"/>
      <c r="F288" s="23">
        <f t="shared" ref="F288:G288" si="226">IF(ISBLANK(D288),"",2025-D288)</f>
        <v>31</v>
      </c>
      <c r="G288" s="20" t="str">
        <f t="shared" si="226"/>
        <v/>
      </c>
      <c r="H288" s="20" t="s">
        <v>121</v>
      </c>
      <c r="I288" s="20"/>
      <c r="J288" s="14">
        <v>1</v>
      </c>
      <c r="K288" s="54"/>
      <c r="L288" s="54"/>
      <c r="M288" s="54"/>
      <c r="N288" s="25" t="s">
        <v>210</v>
      </c>
      <c r="O288" s="26" t="s">
        <v>79</v>
      </c>
      <c r="P288" s="20"/>
      <c r="Q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5">
      <c r="A289" s="14">
        <f t="shared" si="12"/>
        <v>266</v>
      </c>
      <c r="B289" s="14">
        <v>3</v>
      </c>
      <c r="C289" s="22" t="s">
        <v>385</v>
      </c>
      <c r="D289" s="20"/>
      <c r="E289" s="20">
        <v>1978</v>
      </c>
      <c r="F289" s="23" t="str">
        <f t="shared" ref="F289:G289" si="227">IF(ISBLANK(D289),"",2025-D289)</f>
        <v/>
      </c>
      <c r="G289" s="20">
        <f t="shared" si="227"/>
        <v>47</v>
      </c>
      <c r="H289" s="20"/>
      <c r="I289" s="20"/>
      <c r="J289" s="14">
        <v>1</v>
      </c>
      <c r="K289" s="24"/>
      <c r="L289" s="24"/>
      <c r="M289" s="24"/>
      <c r="N289" s="20" t="s">
        <v>163</v>
      </c>
      <c r="O289" s="26" t="s">
        <v>79</v>
      </c>
      <c r="P289" s="20"/>
      <c r="Q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5">
      <c r="A290" s="14">
        <f t="shared" si="12"/>
        <v>267</v>
      </c>
      <c r="B290" s="14">
        <v>4</v>
      </c>
      <c r="C290" s="53" t="s">
        <v>386</v>
      </c>
      <c r="D290" s="48"/>
      <c r="E290" s="48">
        <v>1965</v>
      </c>
      <c r="F290" s="23" t="str">
        <f t="shared" ref="F290:G290" si="228">IF(ISBLANK(D290),"",2025-D290)</f>
        <v/>
      </c>
      <c r="G290" s="20">
        <f t="shared" si="228"/>
        <v>60</v>
      </c>
      <c r="H290" s="48"/>
      <c r="I290" s="48"/>
      <c r="J290" s="46"/>
      <c r="K290" s="65"/>
      <c r="L290" s="65"/>
      <c r="M290" s="50">
        <v>1</v>
      </c>
      <c r="N290" s="20" t="s">
        <v>163</v>
      </c>
      <c r="O290" s="26" t="s">
        <v>79</v>
      </c>
      <c r="P290" s="20"/>
      <c r="Q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5">
      <c r="A291" s="14">
        <f t="shared" si="12"/>
        <v>268</v>
      </c>
      <c r="B291" s="14">
        <v>5</v>
      </c>
      <c r="C291" s="22" t="s">
        <v>387</v>
      </c>
      <c r="D291" s="20"/>
      <c r="E291" s="20">
        <v>1996</v>
      </c>
      <c r="F291" s="23" t="str">
        <f t="shared" ref="F291:G291" si="229">IF(ISBLANK(D291),"",2025-D291)</f>
        <v/>
      </c>
      <c r="G291" s="20">
        <f t="shared" si="229"/>
        <v>29</v>
      </c>
      <c r="H291" s="20"/>
      <c r="I291" s="20"/>
      <c r="J291" s="14">
        <v>1</v>
      </c>
      <c r="K291" s="54"/>
      <c r="L291" s="54"/>
      <c r="M291" s="54"/>
      <c r="N291" s="20" t="s">
        <v>163</v>
      </c>
      <c r="O291" s="26" t="s">
        <v>79</v>
      </c>
      <c r="P291" s="20"/>
      <c r="Q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5">
      <c r="A292" s="14">
        <f t="shared" si="12"/>
        <v>269</v>
      </c>
      <c r="B292" s="14">
        <v>6</v>
      </c>
      <c r="C292" s="22" t="s">
        <v>388</v>
      </c>
      <c r="D292" s="20"/>
      <c r="E292" s="20">
        <v>1996</v>
      </c>
      <c r="F292" s="23" t="str">
        <f t="shared" ref="F292:G292" si="230">IF(ISBLANK(D292),"",2025-D292)</f>
        <v/>
      </c>
      <c r="G292" s="20">
        <f t="shared" si="230"/>
        <v>29</v>
      </c>
      <c r="H292" s="20"/>
      <c r="I292" s="20"/>
      <c r="J292" s="14">
        <v>1</v>
      </c>
      <c r="K292" s="54"/>
      <c r="L292" s="54"/>
      <c r="M292" s="54"/>
      <c r="N292" s="20" t="s">
        <v>163</v>
      </c>
      <c r="O292" s="26" t="s">
        <v>79</v>
      </c>
      <c r="P292" s="20"/>
      <c r="Q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5">
      <c r="A293" s="14">
        <f t="shared" si="12"/>
        <v>270</v>
      </c>
      <c r="B293" s="14">
        <v>7</v>
      </c>
      <c r="C293" s="22" t="s">
        <v>389</v>
      </c>
      <c r="D293" s="20">
        <v>1993</v>
      </c>
      <c r="E293" s="20"/>
      <c r="F293" s="23">
        <f t="shared" ref="F293:G293" si="231">IF(ISBLANK(D293),"",2025-D293)</f>
        <v>32</v>
      </c>
      <c r="G293" s="20" t="str">
        <f t="shared" si="231"/>
        <v/>
      </c>
      <c r="H293" s="20"/>
      <c r="I293" s="20"/>
      <c r="J293" s="14">
        <v>1</v>
      </c>
      <c r="K293" s="54"/>
      <c r="L293" s="14"/>
      <c r="M293" s="54"/>
      <c r="N293" s="20" t="s">
        <v>163</v>
      </c>
      <c r="O293" s="26" t="s">
        <v>79</v>
      </c>
      <c r="P293" s="20"/>
      <c r="Q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5">
      <c r="A294" s="14">
        <f t="shared" si="12"/>
        <v>271</v>
      </c>
      <c r="B294" s="14">
        <v>8</v>
      </c>
      <c r="C294" s="22" t="s">
        <v>390</v>
      </c>
      <c r="D294" s="20"/>
      <c r="E294" s="20">
        <v>1994</v>
      </c>
      <c r="F294" s="23" t="str">
        <f t="shared" ref="F294:G294" si="232">IF(ISBLANK(D294),"",2025-D294)</f>
        <v/>
      </c>
      <c r="G294" s="20">
        <f t="shared" si="232"/>
        <v>31</v>
      </c>
      <c r="H294" s="20"/>
      <c r="I294" s="20"/>
      <c r="J294" s="14">
        <v>1</v>
      </c>
      <c r="K294" s="54"/>
      <c r="L294" s="54"/>
      <c r="M294" s="54"/>
      <c r="N294" s="20" t="s">
        <v>163</v>
      </c>
      <c r="O294" s="26" t="s">
        <v>79</v>
      </c>
      <c r="P294" s="20"/>
      <c r="Q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45">
      <c r="A295" s="14">
        <f t="shared" si="12"/>
        <v>272</v>
      </c>
      <c r="B295" s="14">
        <v>9</v>
      </c>
      <c r="C295" s="22" t="s">
        <v>391</v>
      </c>
      <c r="D295" s="20"/>
      <c r="E295" s="20">
        <v>1977</v>
      </c>
      <c r="F295" s="23" t="str">
        <f t="shared" ref="F295:G295" si="233">IF(ISBLANK(D295),"",2025-D295)</f>
        <v/>
      </c>
      <c r="G295" s="20">
        <f t="shared" si="233"/>
        <v>48</v>
      </c>
      <c r="H295" s="66" t="s">
        <v>392</v>
      </c>
      <c r="I295" s="66" t="s">
        <v>24</v>
      </c>
      <c r="J295" s="14">
        <v>1</v>
      </c>
      <c r="K295" s="24"/>
      <c r="L295" s="24"/>
      <c r="M295" s="24"/>
      <c r="N295" s="26" t="s">
        <v>393</v>
      </c>
      <c r="O295" s="34" t="s">
        <v>64</v>
      </c>
      <c r="P295" s="20"/>
      <c r="Q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5">
      <c r="A296" s="14">
        <f t="shared" si="12"/>
        <v>273</v>
      </c>
      <c r="B296" s="14">
        <v>10</v>
      </c>
      <c r="C296" s="22" t="s">
        <v>394</v>
      </c>
      <c r="D296" s="20"/>
      <c r="E296" s="20">
        <v>1982</v>
      </c>
      <c r="F296" s="23" t="str">
        <f t="shared" ref="F296:G296" si="234">IF(ISBLANK(D296),"",2025-D296)</f>
        <v/>
      </c>
      <c r="G296" s="20">
        <f t="shared" si="234"/>
        <v>43</v>
      </c>
      <c r="H296" s="20"/>
      <c r="I296" s="20"/>
      <c r="J296" s="14">
        <v>1</v>
      </c>
      <c r="K296" s="24"/>
      <c r="L296" s="24"/>
      <c r="M296" s="24"/>
      <c r="N296" s="36" t="s">
        <v>58</v>
      </c>
      <c r="O296" s="34" t="s">
        <v>64</v>
      </c>
      <c r="P296" s="20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5">
      <c r="A297" s="14">
        <f t="shared" si="12"/>
        <v>274</v>
      </c>
      <c r="B297" s="14">
        <v>11</v>
      </c>
      <c r="C297" s="22" t="s">
        <v>395</v>
      </c>
      <c r="D297" s="20"/>
      <c r="E297" s="20">
        <v>1997</v>
      </c>
      <c r="F297" s="23" t="str">
        <f t="shared" ref="F297:G297" si="235">IF(ISBLANK(D297),"",2025-D297)</f>
        <v/>
      </c>
      <c r="G297" s="20">
        <f t="shared" si="235"/>
        <v>28</v>
      </c>
      <c r="H297" s="20"/>
      <c r="I297" s="20"/>
      <c r="J297" s="14">
        <v>1</v>
      </c>
      <c r="K297" s="24"/>
      <c r="L297" s="24"/>
      <c r="M297" s="24"/>
      <c r="N297" s="36" t="s">
        <v>58</v>
      </c>
      <c r="O297" s="34" t="s">
        <v>64</v>
      </c>
      <c r="P297" s="20"/>
      <c r="Q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5">
      <c r="A298" s="14">
        <f t="shared" si="12"/>
        <v>275</v>
      </c>
      <c r="B298" s="14">
        <v>12</v>
      </c>
      <c r="C298" s="22" t="s">
        <v>396</v>
      </c>
      <c r="D298" s="20"/>
      <c r="E298" s="20">
        <v>1988</v>
      </c>
      <c r="F298" s="23" t="str">
        <f t="shared" ref="F298:G298" si="236">IF(ISBLANK(D298),"",2025-D298)</f>
        <v/>
      </c>
      <c r="G298" s="20">
        <f t="shared" si="236"/>
        <v>37</v>
      </c>
      <c r="H298" s="20"/>
      <c r="I298" s="20"/>
      <c r="J298" s="14">
        <v>1</v>
      </c>
      <c r="K298" s="24"/>
      <c r="L298" s="24"/>
      <c r="M298" s="24"/>
      <c r="N298" s="20" t="s">
        <v>58</v>
      </c>
      <c r="O298" s="34" t="s">
        <v>59</v>
      </c>
      <c r="P298" s="20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25.5">
      <c r="A299" s="14">
        <f t="shared" si="12"/>
        <v>276</v>
      </c>
      <c r="B299" s="14">
        <v>13</v>
      </c>
      <c r="C299" s="22" t="s">
        <v>397</v>
      </c>
      <c r="D299" s="20"/>
      <c r="E299" s="20">
        <v>1988</v>
      </c>
      <c r="F299" s="23" t="str">
        <f t="shared" ref="F299:G299" si="237">IF(ISBLANK(D299),"",2025-D299)</f>
        <v/>
      </c>
      <c r="G299" s="20">
        <f t="shared" si="237"/>
        <v>37</v>
      </c>
      <c r="H299" s="20"/>
      <c r="I299" s="20"/>
      <c r="J299" s="14">
        <v>1</v>
      </c>
      <c r="K299" s="24"/>
      <c r="L299" s="24"/>
      <c r="M299" s="24"/>
      <c r="N299" s="20" t="s">
        <v>72</v>
      </c>
      <c r="O299" s="34" t="s">
        <v>59</v>
      </c>
      <c r="P299" s="20"/>
      <c r="Q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25.5">
      <c r="A300" s="14">
        <f t="shared" si="12"/>
        <v>277</v>
      </c>
      <c r="B300" s="14">
        <v>14</v>
      </c>
      <c r="C300" s="22" t="s">
        <v>398</v>
      </c>
      <c r="D300" s="20"/>
      <c r="E300" s="20">
        <v>1992</v>
      </c>
      <c r="F300" s="23" t="str">
        <f t="shared" ref="F300:G300" si="238">IF(ISBLANK(D300),"",2025-D300)</f>
        <v/>
      </c>
      <c r="G300" s="20">
        <f t="shared" si="238"/>
        <v>33</v>
      </c>
      <c r="H300" s="20"/>
      <c r="I300" s="20"/>
      <c r="J300" s="14">
        <v>1</v>
      </c>
      <c r="K300" s="24"/>
      <c r="L300" s="24"/>
      <c r="M300" s="24"/>
      <c r="N300" s="20" t="s">
        <v>72</v>
      </c>
      <c r="O300" s="34" t="s">
        <v>59</v>
      </c>
      <c r="P300" s="20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25.5">
      <c r="A301" s="14">
        <f t="shared" si="12"/>
        <v>278</v>
      </c>
      <c r="B301" s="14">
        <v>15</v>
      </c>
      <c r="C301" s="22" t="s">
        <v>399</v>
      </c>
      <c r="D301" s="20"/>
      <c r="E301" s="20">
        <v>1992</v>
      </c>
      <c r="F301" s="23" t="str">
        <f t="shared" ref="F301:G301" si="239">IF(ISBLANK(D301),"",2025-D301)</f>
        <v/>
      </c>
      <c r="G301" s="20">
        <f t="shared" si="239"/>
        <v>33</v>
      </c>
      <c r="H301" s="20"/>
      <c r="I301" s="20"/>
      <c r="J301" s="14">
        <v>1</v>
      </c>
      <c r="K301" s="24"/>
      <c r="L301" s="24"/>
      <c r="M301" s="24"/>
      <c r="N301" s="20" t="s">
        <v>72</v>
      </c>
      <c r="O301" s="34" t="s">
        <v>59</v>
      </c>
      <c r="P301" s="20"/>
      <c r="Q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25.5">
      <c r="A302" s="14">
        <f t="shared" si="12"/>
        <v>279</v>
      </c>
      <c r="B302" s="14">
        <v>16</v>
      </c>
      <c r="C302" s="22" t="s">
        <v>400</v>
      </c>
      <c r="D302" s="20"/>
      <c r="E302" s="20">
        <v>1988</v>
      </c>
      <c r="F302" s="23" t="str">
        <f t="shared" ref="F302:G302" si="240">IF(ISBLANK(D302),"",2025-D302)</f>
        <v/>
      </c>
      <c r="G302" s="20">
        <f t="shared" si="240"/>
        <v>37</v>
      </c>
      <c r="H302" s="20"/>
      <c r="I302" s="20"/>
      <c r="J302" s="14">
        <v>1</v>
      </c>
      <c r="K302" s="24"/>
      <c r="L302" s="24"/>
      <c r="M302" s="24"/>
      <c r="N302" s="20" t="s">
        <v>72</v>
      </c>
      <c r="O302" s="34" t="s">
        <v>59</v>
      </c>
      <c r="P302" s="20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25.5">
      <c r="A303" s="14">
        <f t="shared" si="12"/>
        <v>280</v>
      </c>
      <c r="B303" s="14">
        <v>17</v>
      </c>
      <c r="C303" s="22" t="s">
        <v>401</v>
      </c>
      <c r="D303" s="20"/>
      <c r="E303" s="20">
        <v>1986</v>
      </c>
      <c r="F303" s="23" t="str">
        <f t="shared" ref="F303:G303" si="241">IF(ISBLANK(D303),"",2025-D303)</f>
        <v/>
      </c>
      <c r="G303" s="20">
        <f t="shared" si="241"/>
        <v>39</v>
      </c>
      <c r="H303" s="20"/>
      <c r="I303" s="20"/>
      <c r="J303" s="14">
        <v>1</v>
      </c>
      <c r="K303" s="24"/>
      <c r="L303" s="24"/>
      <c r="M303" s="24"/>
      <c r="N303" s="20" t="s">
        <v>72</v>
      </c>
      <c r="O303" s="34" t="s">
        <v>59</v>
      </c>
      <c r="P303" s="20"/>
      <c r="Q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25.5">
      <c r="A304" s="14">
        <f t="shared" si="12"/>
        <v>281</v>
      </c>
      <c r="B304" s="14">
        <v>18</v>
      </c>
      <c r="C304" s="22" t="s">
        <v>402</v>
      </c>
      <c r="D304" s="20"/>
      <c r="E304" s="20">
        <v>1980</v>
      </c>
      <c r="F304" s="23" t="str">
        <f t="shared" ref="F304:G304" si="242">IF(ISBLANK(D304),"",2025-D304)</f>
        <v/>
      </c>
      <c r="G304" s="20">
        <f t="shared" si="242"/>
        <v>45</v>
      </c>
      <c r="H304" s="20"/>
      <c r="I304" s="20"/>
      <c r="J304" s="14">
        <v>1</v>
      </c>
      <c r="K304" s="24"/>
      <c r="L304" s="24"/>
      <c r="M304" s="24"/>
      <c r="N304" s="20" t="s">
        <v>72</v>
      </c>
      <c r="O304" s="34" t="s">
        <v>59</v>
      </c>
      <c r="P304" s="20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5">
      <c r="A305" s="14">
        <f t="shared" si="12"/>
        <v>282</v>
      </c>
      <c r="B305" s="14">
        <v>19</v>
      </c>
      <c r="C305" s="22" t="s">
        <v>403</v>
      </c>
      <c r="D305" s="20"/>
      <c r="E305" s="20">
        <v>1989</v>
      </c>
      <c r="F305" s="23" t="str">
        <f t="shared" ref="F305:G305" si="243">IF(ISBLANK(D305),"",2025-D305)</f>
        <v/>
      </c>
      <c r="G305" s="20">
        <f t="shared" si="243"/>
        <v>36</v>
      </c>
      <c r="H305" s="20"/>
      <c r="I305" s="20"/>
      <c r="J305" s="14"/>
      <c r="K305" s="24">
        <v>1</v>
      </c>
      <c r="L305" s="24"/>
      <c r="M305" s="24"/>
      <c r="N305" s="20" t="s">
        <v>154</v>
      </c>
      <c r="O305" s="33" t="s">
        <v>154</v>
      </c>
      <c r="P305" s="20"/>
      <c r="Q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>
      <c r="A306" s="14" t="str">
        <f t="shared" si="12"/>
        <v/>
      </c>
      <c r="B306" s="14"/>
      <c r="C306" s="59" t="s">
        <v>404</v>
      </c>
      <c r="D306" s="20"/>
      <c r="E306" s="20"/>
      <c r="F306" s="23"/>
      <c r="G306" s="20"/>
      <c r="H306" s="20"/>
      <c r="I306" s="20"/>
      <c r="J306" s="14"/>
      <c r="K306" s="24"/>
      <c r="L306" s="24"/>
      <c r="M306" s="24"/>
      <c r="N306" s="20"/>
      <c r="O306" s="21"/>
      <c r="P306" s="20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38.25">
      <c r="A307" s="14">
        <f t="shared" si="12"/>
        <v>283</v>
      </c>
      <c r="B307" s="14">
        <v>1</v>
      </c>
      <c r="C307" s="22" t="s">
        <v>405</v>
      </c>
      <c r="D307" s="20">
        <v>1982</v>
      </c>
      <c r="E307" s="20"/>
      <c r="F307" s="23">
        <f t="shared" ref="F307:G307" si="244">IF(ISBLANK(D307),"",2025-D307)</f>
        <v>43</v>
      </c>
      <c r="G307" s="20" t="str">
        <f t="shared" si="244"/>
        <v/>
      </c>
      <c r="H307" s="20" t="s">
        <v>117</v>
      </c>
      <c r="I307" s="20"/>
      <c r="J307" s="14">
        <v>1</v>
      </c>
      <c r="K307" s="24"/>
      <c r="L307" s="24"/>
      <c r="M307" s="24"/>
      <c r="N307" s="25" t="s">
        <v>210</v>
      </c>
      <c r="O307" s="26" t="s">
        <v>79</v>
      </c>
      <c r="P307" s="20"/>
      <c r="Q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38.25">
      <c r="A308" s="14">
        <f t="shared" si="12"/>
        <v>284</v>
      </c>
      <c r="B308" s="14">
        <v>2</v>
      </c>
      <c r="C308" s="22" t="s">
        <v>406</v>
      </c>
      <c r="D308" s="20">
        <v>1993</v>
      </c>
      <c r="E308" s="20"/>
      <c r="F308" s="23">
        <f t="shared" ref="F308:G308" si="245">IF(ISBLANK(D308),"",2025-D308)</f>
        <v>32</v>
      </c>
      <c r="G308" s="20" t="str">
        <f t="shared" si="245"/>
        <v/>
      </c>
      <c r="H308" s="20"/>
      <c r="I308" s="20"/>
      <c r="J308" s="14">
        <v>1</v>
      </c>
      <c r="K308" s="14"/>
      <c r="L308" s="24"/>
      <c r="M308" s="14"/>
      <c r="N308" s="25" t="s">
        <v>210</v>
      </c>
      <c r="O308" s="26" t="s">
        <v>79</v>
      </c>
      <c r="P308" s="20"/>
      <c r="Q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38.25">
      <c r="A309" s="14">
        <f t="shared" si="12"/>
        <v>285</v>
      </c>
      <c r="B309" s="14">
        <v>3</v>
      </c>
      <c r="C309" s="22" t="s">
        <v>407</v>
      </c>
      <c r="D309" s="20"/>
      <c r="E309" s="20">
        <v>1993</v>
      </c>
      <c r="F309" s="23" t="str">
        <f t="shared" ref="F309:G309" si="246">IF(ISBLANK(D309),"",2025-D309)</f>
        <v/>
      </c>
      <c r="G309" s="20">
        <f t="shared" si="246"/>
        <v>32</v>
      </c>
      <c r="H309" s="20"/>
      <c r="I309" s="20"/>
      <c r="J309" s="14">
        <v>1</v>
      </c>
      <c r="K309" s="14"/>
      <c r="L309" s="24"/>
      <c r="M309" s="14"/>
      <c r="N309" s="25" t="s">
        <v>210</v>
      </c>
      <c r="O309" s="26" t="s">
        <v>79</v>
      </c>
      <c r="P309" s="20"/>
      <c r="Q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5">
      <c r="A310" s="14">
        <f t="shared" si="12"/>
        <v>286</v>
      </c>
      <c r="B310" s="14">
        <v>4</v>
      </c>
      <c r="C310" s="22" t="s">
        <v>408</v>
      </c>
      <c r="D310" s="20"/>
      <c r="E310" s="20">
        <v>1988</v>
      </c>
      <c r="F310" s="23" t="str">
        <f t="shared" ref="F310:G310" si="247">IF(ISBLANK(D310),"",2025-D310)</f>
        <v/>
      </c>
      <c r="G310" s="20">
        <f t="shared" si="247"/>
        <v>37</v>
      </c>
      <c r="H310" s="20"/>
      <c r="I310" s="20"/>
      <c r="J310" s="14">
        <v>1</v>
      </c>
      <c r="K310" s="24"/>
      <c r="L310" s="24"/>
      <c r="M310" s="24"/>
      <c r="N310" s="36" t="s">
        <v>58</v>
      </c>
      <c r="O310" s="34" t="s">
        <v>64</v>
      </c>
      <c r="P310" s="20"/>
      <c r="Q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5">
      <c r="A311" s="14">
        <f t="shared" si="12"/>
        <v>287</v>
      </c>
      <c r="B311" s="14">
        <v>5</v>
      </c>
      <c r="C311" s="22" t="s">
        <v>409</v>
      </c>
      <c r="D311" s="20"/>
      <c r="E311" s="20">
        <v>1996</v>
      </c>
      <c r="F311" s="23" t="str">
        <f t="shared" ref="F311:G311" si="248">IF(ISBLANK(D311),"",2025-D311)</f>
        <v/>
      </c>
      <c r="G311" s="20">
        <f t="shared" si="248"/>
        <v>29</v>
      </c>
      <c r="H311" s="20"/>
      <c r="I311" s="20"/>
      <c r="J311" s="14">
        <v>1</v>
      </c>
      <c r="K311" s="24"/>
      <c r="L311" s="24"/>
      <c r="M311" s="24"/>
      <c r="N311" s="36" t="s">
        <v>58</v>
      </c>
      <c r="O311" s="34" t="s">
        <v>64</v>
      </c>
      <c r="P311" s="20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5">
      <c r="A312" s="14">
        <f t="shared" si="12"/>
        <v>288</v>
      </c>
      <c r="B312" s="14">
        <v>6</v>
      </c>
      <c r="C312" s="22" t="s">
        <v>410</v>
      </c>
      <c r="D312" s="20"/>
      <c r="E312" s="20">
        <v>1989</v>
      </c>
      <c r="F312" s="23" t="str">
        <f t="shared" ref="F312:G312" si="249">IF(ISBLANK(D312),"",2025-D312)</f>
        <v/>
      </c>
      <c r="G312" s="20">
        <f t="shared" si="249"/>
        <v>36</v>
      </c>
      <c r="H312" s="20"/>
      <c r="I312" s="20"/>
      <c r="J312" s="14">
        <v>1</v>
      </c>
      <c r="K312" s="24"/>
      <c r="L312" s="24"/>
      <c r="M312" s="24"/>
      <c r="N312" s="36" t="s">
        <v>58</v>
      </c>
      <c r="O312" s="34" t="s">
        <v>64</v>
      </c>
      <c r="P312" s="20"/>
      <c r="Q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5">
      <c r="A313" s="14">
        <f t="shared" si="12"/>
        <v>289</v>
      </c>
      <c r="B313" s="14">
        <v>7</v>
      </c>
      <c r="C313" s="22" t="s">
        <v>411</v>
      </c>
      <c r="D313" s="20"/>
      <c r="E313" s="20">
        <v>1992</v>
      </c>
      <c r="F313" s="23" t="str">
        <f t="shared" ref="F313:G313" si="250">IF(ISBLANK(D313),"",2025-D313)</f>
        <v/>
      </c>
      <c r="G313" s="20">
        <f t="shared" si="250"/>
        <v>33</v>
      </c>
      <c r="H313" s="20"/>
      <c r="I313" s="20"/>
      <c r="J313" s="14">
        <v>1</v>
      </c>
      <c r="K313" s="24"/>
      <c r="L313" s="24"/>
      <c r="M313" s="24"/>
      <c r="N313" s="36" t="s">
        <v>58</v>
      </c>
      <c r="O313" s="34" t="s">
        <v>64</v>
      </c>
      <c r="P313" s="20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38.25">
      <c r="A314" s="14">
        <f t="shared" si="12"/>
        <v>290</v>
      </c>
      <c r="B314" s="14">
        <v>8</v>
      </c>
      <c r="C314" s="22" t="s">
        <v>412</v>
      </c>
      <c r="D314" s="20"/>
      <c r="E314" s="20">
        <v>1994</v>
      </c>
      <c r="F314" s="23" t="str">
        <f t="shared" ref="F314:G314" si="251">IF(ISBLANK(D314),"",2025-D314)</f>
        <v/>
      </c>
      <c r="G314" s="20">
        <f t="shared" si="251"/>
        <v>31</v>
      </c>
      <c r="H314" s="20"/>
      <c r="I314" s="20"/>
      <c r="J314" s="14">
        <v>1</v>
      </c>
      <c r="K314" s="24"/>
      <c r="L314" s="24"/>
      <c r="M314" s="24"/>
      <c r="N314" s="20" t="s">
        <v>336</v>
      </c>
      <c r="O314" s="34" t="s">
        <v>59</v>
      </c>
      <c r="P314" s="20"/>
      <c r="Q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5">
      <c r="A315" s="14">
        <f t="shared" si="12"/>
        <v>291</v>
      </c>
      <c r="B315" s="14">
        <v>9</v>
      </c>
      <c r="C315" s="22" t="s">
        <v>413</v>
      </c>
      <c r="D315" s="20"/>
      <c r="E315" s="20">
        <v>1988</v>
      </c>
      <c r="F315" s="23" t="str">
        <f t="shared" ref="F315:G315" si="252">IF(ISBLANK(D315),"",2025-D315)</f>
        <v/>
      </c>
      <c r="G315" s="20">
        <f t="shared" si="252"/>
        <v>37</v>
      </c>
      <c r="H315" s="20"/>
      <c r="I315" s="20"/>
      <c r="J315" s="14">
        <v>1</v>
      </c>
      <c r="K315" s="24"/>
      <c r="L315" s="24"/>
      <c r="M315" s="24"/>
      <c r="N315" s="20" t="s">
        <v>58</v>
      </c>
      <c r="O315" s="34" t="s">
        <v>59</v>
      </c>
      <c r="P315" s="20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25.5">
      <c r="A316" s="14">
        <f t="shared" si="12"/>
        <v>292</v>
      </c>
      <c r="B316" s="14">
        <v>10</v>
      </c>
      <c r="C316" s="22" t="s">
        <v>414</v>
      </c>
      <c r="D316" s="20"/>
      <c r="E316" s="20">
        <v>1984</v>
      </c>
      <c r="F316" s="23" t="str">
        <f t="shared" ref="F316:G316" si="253">IF(ISBLANK(D316),"",2025-D316)</f>
        <v/>
      </c>
      <c r="G316" s="20">
        <f t="shared" si="253"/>
        <v>41</v>
      </c>
      <c r="H316" s="20"/>
      <c r="I316" s="20"/>
      <c r="J316" s="14">
        <v>1</v>
      </c>
      <c r="K316" s="24"/>
      <c r="L316" s="24"/>
      <c r="M316" s="24"/>
      <c r="N316" s="20" t="s">
        <v>72</v>
      </c>
      <c r="O316" s="34" t="s">
        <v>59</v>
      </c>
      <c r="P316" s="20"/>
      <c r="Q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5">
      <c r="A317" s="14">
        <f t="shared" si="12"/>
        <v>293</v>
      </c>
      <c r="B317" s="14">
        <v>11</v>
      </c>
      <c r="C317" s="22" t="s">
        <v>415</v>
      </c>
      <c r="D317" s="20"/>
      <c r="E317" s="20">
        <v>1986</v>
      </c>
      <c r="F317" s="23" t="str">
        <f t="shared" ref="F317:G317" si="254">IF(ISBLANK(D317),"",2025-D317)</f>
        <v/>
      </c>
      <c r="G317" s="20">
        <f t="shared" si="254"/>
        <v>39</v>
      </c>
      <c r="H317" s="20"/>
      <c r="I317" s="20"/>
      <c r="J317" s="14"/>
      <c r="K317" s="24">
        <v>1</v>
      </c>
      <c r="L317" s="24"/>
      <c r="M317" s="24"/>
      <c r="N317" s="20" t="s">
        <v>154</v>
      </c>
      <c r="O317" s="33" t="s">
        <v>154</v>
      </c>
      <c r="P317" s="20"/>
      <c r="Q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30">
      <c r="A318" s="14" t="str">
        <f t="shared" si="12"/>
        <v/>
      </c>
      <c r="B318" s="14"/>
      <c r="C318" s="27" t="s">
        <v>416</v>
      </c>
      <c r="D318" s="18"/>
      <c r="E318" s="18"/>
      <c r="F318" s="23" t="str">
        <f t="shared" ref="F318:G318" si="255">IF(ISBLANK(D318),"",2025-D318)</f>
        <v/>
      </c>
      <c r="G318" s="20" t="str">
        <f t="shared" si="255"/>
        <v/>
      </c>
      <c r="H318" s="27"/>
      <c r="I318" s="27"/>
      <c r="J318" s="27"/>
      <c r="K318" s="27"/>
      <c r="L318" s="27"/>
      <c r="M318" s="27"/>
      <c r="N318" s="27"/>
      <c r="O318" s="35"/>
      <c r="P318" s="20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38.25">
      <c r="A319" s="14">
        <f t="shared" si="12"/>
        <v>294</v>
      </c>
      <c r="B319" s="14">
        <v>1</v>
      </c>
      <c r="C319" s="22" t="s">
        <v>417</v>
      </c>
      <c r="D319" s="20">
        <v>1988</v>
      </c>
      <c r="E319" s="20"/>
      <c r="F319" s="23">
        <f t="shared" ref="F319:G319" si="256">IF(ISBLANK(D319),"",2025-D319)</f>
        <v>37</v>
      </c>
      <c r="G319" s="20" t="str">
        <f t="shared" si="256"/>
        <v/>
      </c>
      <c r="H319" s="20" t="s">
        <v>117</v>
      </c>
      <c r="I319" s="20"/>
      <c r="J319" s="14">
        <v>1</v>
      </c>
      <c r="K319" s="14"/>
      <c r="L319" s="14"/>
      <c r="M319" s="14"/>
      <c r="N319" s="25" t="s">
        <v>418</v>
      </c>
      <c r="O319" s="26" t="s">
        <v>79</v>
      </c>
      <c r="P319" s="20" t="s">
        <v>419</v>
      </c>
      <c r="Q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38.25">
      <c r="A320" s="14">
        <f t="shared" si="12"/>
        <v>295</v>
      </c>
      <c r="B320" s="14">
        <v>2</v>
      </c>
      <c r="C320" s="22" t="s">
        <v>420</v>
      </c>
      <c r="D320" s="20"/>
      <c r="E320" s="20">
        <v>1988</v>
      </c>
      <c r="F320" s="23" t="str">
        <f t="shared" ref="F320:G320" si="257">IF(ISBLANK(D320),"",2025-D320)</f>
        <v/>
      </c>
      <c r="G320" s="20">
        <f t="shared" si="257"/>
        <v>37</v>
      </c>
      <c r="H320" s="20"/>
      <c r="I320" s="20"/>
      <c r="J320" s="14">
        <v>1</v>
      </c>
      <c r="K320" s="24"/>
      <c r="L320" s="24"/>
      <c r="M320" s="24"/>
      <c r="N320" s="25" t="s">
        <v>31</v>
      </c>
      <c r="O320" s="26" t="s">
        <v>79</v>
      </c>
      <c r="P320" s="20"/>
      <c r="Q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25.5">
      <c r="A321" s="14">
        <f t="shared" si="12"/>
        <v>296</v>
      </c>
      <c r="B321" s="14">
        <v>3</v>
      </c>
      <c r="C321" s="22" t="s">
        <v>421</v>
      </c>
      <c r="D321" s="20">
        <v>1964</v>
      </c>
      <c r="E321" s="20"/>
      <c r="F321" s="23">
        <f t="shared" ref="F321:G321" si="258">IF(ISBLANK(D321),"",2025-D321)</f>
        <v>61</v>
      </c>
      <c r="G321" s="20" t="str">
        <f t="shared" si="258"/>
        <v/>
      </c>
      <c r="H321" s="20" t="s">
        <v>422</v>
      </c>
      <c r="I321" s="20"/>
      <c r="J321" s="14">
        <v>1</v>
      </c>
      <c r="K321" s="24"/>
      <c r="L321" s="24"/>
      <c r="M321" s="24"/>
      <c r="N321" s="20" t="s">
        <v>163</v>
      </c>
      <c r="O321" s="26" t="s">
        <v>79</v>
      </c>
      <c r="P321" s="20"/>
      <c r="Q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25.5">
      <c r="A322" s="14">
        <f t="shared" si="12"/>
        <v>297</v>
      </c>
      <c r="B322" s="14">
        <v>4</v>
      </c>
      <c r="C322" s="22" t="s">
        <v>423</v>
      </c>
      <c r="D322" s="20"/>
      <c r="E322" s="20">
        <v>1994</v>
      </c>
      <c r="F322" s="23" t="str">
        <f t="shared" ref="F322:G322" si="259">IF(ISBLANK(D322),"",2025-D322)</f>
        <v/>
      </c>
      <c r="G322" s="20">
        <f t="shared" si="259"/>
        <v>31</v>
      </c>
      <c r="H322" s="20"/>
      <c r="I322" s="20"/>
      <c r="J322" s="14">
        <v>1</v>
      </c>
      <c r="K322" s="14"/>
      <c r="L322" s="14"/>
      <c r="M322" s="14"/>
      <c r="N322" s="20" t="s">
        <v>424</v>
      </c>
      <c r="O322" s="26" t="s">
        <v>79</v>
      </c>
      <c r="P322" s="20"/>
      <c r="Q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25.5">
      <c r="A323" s="14">
        <f t="shared" si="12"/>
        <v>298</v>
      </c>
      <c r="B323" s="14">
        <v>5</v>
      </c>
      <c r="C323" s="22" t="s">
        <v>425</v>
      </c>
      <c r="D323" s="20"/>
      <c r="E323" s="20">
        <v>1995</v>
      </c>
      <c r="F323" s="23" t="str">
        <f t="shared" ref="F323:G323" si="260">IF(ISBLANK(D323),"",2025-D323)</f>
        <v/>
      </c>
      <c r="G323" s="20">
        <f t="shared" si="260"/>
        <v>30</v>
      </c>
      <c r="H323" s="20"/>
      <c r="I323" s="20"/>
      <c r="J323" s="14">
        <v>1</v>
      </c>
      <c r="K323" s="14"/>
      <c r="L323" s="14"/>
      <c r="M323" s="14"/>
      <c r="N323" s="25" t="s">
        <v>426</v>
      </c>
      <c r="O323" s="26" t="s">
        <v>79</v>
      </c>
      <c r="P323" s="20"/>
      <c r="Q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5">
      <c r="A324" s="14">
        <f t="shared" si="12"/>
        <v>299</v>
      </c>
      <c r="B324" s="14">
        <v>6</v>
      </c>
      <c r="C324" s="22" t="s">
        <v>427</v>
      </c>
      <c r="D324" s="20">
        <v>1996</v>
      </c>
      <c r="E324" s="20"/>
      <c r="F324" s="23">
        <f t="shared" ref="F324:G324" si="261">IF(ISBLANK(D324),"",2025-D324)</f>
        <v>29</v>
      </c>
      <c r="G324" s="20" t="str">
        <f t="shared" si="261"/>
        <v/>
      </c>
      <c r="H324" s="20"/>
      <c r="I324" s="20"/>
      <c r="J324" s="14">
        <v>1</v>
      </c>
      <c r="K324" s="14"/>
      <c r="L324" s="14"/>
      <c r="M324" s="14"/>
      <c r="N324" s="20" t="s">
        <v>163</v>
      </c>
      <c r="O324" s="26" t="s">
        <v>79</v>
      </c>
      <c r="P324" s="20"/>
      <c r="Q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38.25">
      <c r="A325" s="14">
        <f t="shared" si="12"/>
        <v>300</v>
      </c>
      <c r="B325" s="14">
        <v>7</v>
      </c>
      <c r="C325" s="22" t="s">
        <v>428</v>
      </c>
      <c r="D325" s="20">
        <v>1997</v>
      </c>
      <c r="E325" s="20"/>
      <c r="F325" s="23">
        <f t="shared" ref="F325:G325" si="262">IF(ISBLANK(D325),"",2025-D325)</f>
        <v>28</v>
      </c>
      <c r="G325" s="20" t="str">
        <f t="shared" si="262"/>
        <v/>
      </c>
      <c r="H325" s="20"/>
      <c r="I325" s="20"/>
      <c r="J325" s="14">
        <v>1</v>
      </c>
      <c r="K325" s="14"/>
      <c r="L325" s="14"/>
      <c r="M325" s="14"/>
      <c r="N325" s="20" t="s">
        <v>163</v>
      </c>
      <c r="O325" s="26" t="s">
        <v>79</v>
      </c>
      <c r="P325" s="20" t="s">
        <v>429</v>
      </c>
      <c r="Q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5">
      <c r="A326" s="14">
        <f t="shared" si="12"/>
        <v>301</v>
      </c>
      <c r="B326" s="14">
        <v>8</v>
      </c>
      <c r="C326" s="22" t="s">
        <v>430</v>
      </c>
      <c r="D326" s="20">
        <v>1996</v>
      </c>
      <c r="E326" s="20"/>
      <c r="F326" s="23">
        <f t="shared" ref="F326:G326" si="263">IF(ISBLANK(D326),"",2025-D326)</f>
        <v>29</v>
      </c>
      <c r="G326" s="20" t="str">
        <f t="shared" si="263"/>
        <v/>
      </c>
      <c r="H326" s="20"/>
      <c r="I326" s="20"/>
      <c r="J326" s="14">
        <v>1</v>
      </c>
      <c r="K326" s="14"/>
      <c r="L326" s="14"/>
      <c r="M326" s="14"/>
      <c r="N326" s="20" t="s">
        <v>163</v>
      </c>
      <c r="O326" s="26" t="s">
        <v>79</v>
      </c>
      <c r="P326" s="20" t="s">
        <v>273</v>
      </c>
      <c r="Q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5">
      <c r="A327" s="14">
        <f t="shared" ref="A327:A445" si="264">IF(ISBLANK(B327),"",COUNTA($B$8:B327))</f>
        <v>302</v>
      </c>
      <c r="B327" s="14">
        <v>9</v>
      </c>
      <c r="C327" s="22" t="s">
        <v>431</v>
      </c>
      <c r="D327" s="20">
        <v>1999</v>
      </c>
      <c r="E327" s="20"/>
      <c r="F327" s="23">
        <f t="shared" ref="F327:G327" si="265">IF(ISBLANK(D327),"",2025-D327)</f>
        <v>26</v>
      </c>
      <c r="G327" s="20" t="str">
        <f t="shared" si="265"/>
        <v/>
      </c>
      <c r="H327" s="20"/>
      <c r="I327" s="20"/>
      <c r="J327" s="14">
        <v>1</v>
      </c>
      <c r="K327" s="14"/>
      <c r="L327" s="14"/>
      <c r="M327" s="14"/>
      <c r="N327" s="20" t="s">
        <v>163</v>
      </c>
      <c r="O327" s="26" t="s">
        <v>79</v>
      </c>
      <c r="P327" s="20"/>
      <c r="Q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5">
      <c r="A328" s="14">
        <f t="shared" si="264"/>
        <v>303</v>
      </c>
      <c r="B328" s="14">
        <v>10</v>
      </c>
      <c r="C328" s="22" t="s">
        <v>432</v>
      </c>
      <c r="D328" s="20"/>
      <c r="E328" s="20">
        <v>1997</v>
      </c>
      <c r="F328" s="23" t="str">
        <f t="shared" ref="F328:G328" si="266">IF(ISBLANK(D328),"",2025-D328)</f>
        <v/>
      </c>
      <c r="G328" s="20">
        <f t="shared" si="266"/>
        <v>28</v>
      </c>
      <c r="H328" s="20"/>
      <c r="I328" s="20"/>
      <c r="J328" s="14">
        <v>1</v>
      </c>
      <c r="K328" s="14"/>
      <c r="L328" s="14"/>
      <c r="M328" s="24"/>
      <c r="N328" s="20" t="s">
        <v>163</v>
      </c>
      <c r="O328" s="26" t="s">
        <v>79</v>
      </c>
      <c r="P328" s="20"/>
      <c r="Q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5">
      <c r="A329" s="14">
        <f t="shared" si="264"/>
        <v>304</v>
      </c>
      <c r="B329" s="14">
        <v>11</v>
      </c>
      <c r="C329" s="22" t="s">
        <v>433</v>
      </c>
      <c r="D329" s="20"/>
      <c r="E329" s="20">
        <v>1997</v>
      </c>
      <c r="F329" s="23" t="str">
        <f t="shared" ref="F329:G329" si="267">IF(ISBLANK(D329),"",2025-D329)</f>
        <v/>
      </c>
      <c r="G329" s="20">
        <f t="shared" si="267"/>
        <v>28</v>
      </c>
      <c r="H329" s="20"/>
      <c r="I329" s="20"/>
      <c r="J329" s="14">
        <v>1</v>
      </c>
      <c r="K329" s="24"/>
      <c r="L329" s="24"/>
      <c r="M329" s="24"/>
      <c r="N329" s="36" t="s">
        <v>58</v>
      </c>
      <c r="O329" s="34" t="s">
        <v>64</v>
      </c>
      <c r="P329" s="20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5">
      <c r="A330" s="14">
        <f t="shared" si="264"/>
        <v>305</v>
      </c>
      <c r="B330" s="14">
        <v>12</v>
      </c>
      <c r="C330" s="22" t="s">
        <v>434</v>
      </c>
      <c r="D330" s="20"/>
      <c r="E330" s="20">
        <v>1996</v>
      </c>
      <c r="F330" s="23" t="str">
        <f t="shared" ref="F330:G330" si="268">IF(ISBLANK(D330),"",2025-D330)</f>
        <v/>
      </c>
      <c r="G330" s="20">
        <f t="shared" si="268"/>
        <v>29</v>
      </c>
      <c r="H330" s="20"/>
      <c r="I330" s="20"/>
      <c r="J330" s="14">
        <v>1</v>
      </c>
      <c r="K330" s="24"/>
      <c r="L330" s="24"/>
      <c r="M330" s="24"/>
      <c r="N330" s="36" t="s">
        <v>58</v>
      </c>
      <c r="O330" s="34" t="s">
        <v>64</v>
      </c>
      <c r="P330" s="20"/>
      <c r="Q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5">
      <c r="A331" s="14">
        <f t="shared" si="264"/>
        <v>306</v>
      </c>
      <c r="B331" s="14">
        <v>13</v>
      </c>
      <c r="C331" s="22" t="s">
        <v>435</v>
      </c>
      <c r="D331" s="20"/>
      <c r="E331" s="20">
        <v>1998</v>
      </c>
      <c r="F331" s="23" t="str">
        <f t="shared" ref="F331:G331" si="269">IF(ISBLANK(D331),"",2025-D331)</f>
        <v/>
      </c>
      <c r="G331" s="20">
        <f t="shared" si="269"/>
        <v>27</v>
      </c>
      <c r="H331" s="20"/>
      <c r="I331" s="20"/>
      <c r="J331" s="14">
        <v>1</v>
      </c>
      <c r="K331" s="24"/>
      <c r="L331" s="24"/>
      <c r="M331" s="24"/>
      <c r="N331" s="36" t="s">
        <v>58</v>
      </c>
      <c r="O331" s="34" t="s">
        <v>64</v>
      </c>
      <c r="P331" s="20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25.5">
      <c r="A332" s="14">
        <f t="shared" si="264"/>
        <v>307</v>
      </c>
      <c r="B332" s="14">
        <v>14</v>
      </c>
      <c r="C332" s="22" t="s">
        <v>436</v>
      </c>
      <c r="D332" s="20"/>
      <c r="E332" s="20">
        <v>1997</v>
      </c>
      <c r="F332" s="23" t="str">
        <f t="shared" ref="F332:G332" si="270">IF(ISBLANK(D332),"",2025-D332)</f>
        <v/>
      </c>
      <c r="G332" s="20">
        <f t="shared" si="270"/>
        <v>28</v>
      </c>
      <c r="H332" s="20"/>
      <c r="I332" s="20"/>
      <c r="J332" s="14">
        <v>1</v>
      </c>
      <c r="K332" s="24"/>
      <c r="L332" s="24"/>
      <c r="M332" s="24"/>
      <c r="N332" s="36" t="s">
        <v>437</v>
      </c>
      <c r="O332" s="34" t="s">
        <v>64</v>
      </c>
      <c r="P332" s="20"/>
      <c r="Q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25.5">
      <c r="A333" s="14">
        <f t="shared" si="264"/>
        <v>308</v>
      </c>
      <c r="B333" s="14">
        <v>15</v>
      </c>
      <c r="C333" s="22" t="s">
        <v>438</v>
      </c>
      <c r="D333" s="20">
        <v>1997</v>
      </c>
      <c r="E333" s="20"/>
      <c r="F333" s="23">
        <f t="shared" ref="F333:G333" si="271">IF(ISBLANK(D333),"",2025-D333)</f>
        <v>28</v>
      </c>
      <c r="G333" s="20" t="str">
        <f t="shared" si="271"/>
        <v/>
      </c>
      <c r="H333" s="20"/>
      <c r="I333" s="20"/>
      <c r="J333" s="14">
        <v>1</v>
      </c>
      <c r="K333" s="24"/>
      <c r="L333" s="24"/>
      <c r="M333" s="24"/>
      <c r="N333" s="36" t="s">
        <v>437</v>
      </c>
      <c r="O333" s="34" t="s">
        <v>64</v>
      </c>
      <c r="P333" s="20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25.5">
      <c r="A334" s="14">
        <f t="shared" si="264"/>
        <v>309</v>
      </c>
      <c r="B334" s="14">
        <v>16</v>
      </c>
      <c r="C334" s="22" t="s">
        <v>439</v>
      </c>
      <c r="D334" s="20"/>
      <c r="E334" s="20">
        <v>1985</v>
      </c>
      <c r="F334" s="23" t="str">
        <f t="shared" ref="F334:G334" si="272">IF(ISBLANK(D334),"",2025-D334)</f>
        <v/>
      </c>
      <c r="G334" s="20">
        <f t="shared" si="272"/>
        <v>40</v>
      </c>
      <c r="H334" s="20"/>
      <c r="I334" s="20"/>
      <c r="J334" s="14">
        <v>1</v>
      </c>
      <c r="K334" s="24"/>
      <c r="L334" s="24"/>
      <c r="M334" s="24"/>
      <c r="N334" s="20" t="s">
        <v>437</v>
      </c>
      <c r="O334" s="34" t="s">
        <v>59</v>
      </c>
      <c r="P334" s="20"/>
      <c r="Q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25.5">
      <c r="A335" s="14">
        <f t="shared" si="264"/>
        <v>310</v>
      </c>
      <c r="B335" s="14">
        <v>17</v>
      </c>
      <c r="C335" s="22" t="s">
        <v>440</v>
      </c>
      <c r="D335" s="20"/>
      <c r="E335" s="20">
        <v>1994</v>
      </c>
      <c r="F335" s="23" t="str">
        <f t="shared" ref="F335:G335" si="273">IF(ISBLANK(D335),"",2025-D335)</f>
        <v/>
      </c>
      <c r="G335" s="20">
        <f t="shared" si="273"/>
        <v>31</v>
      </c>
      <c r="H335" s="20"/>
      <c r="I335" s="20"/>
      <c r="J335" s="14">
        <v>1</v>
      </c>
      <c r="K335" s="24"/>
      <c r="L335" s="24"/>
      <c r="M335" s="24"/>
      <c r="N335" s="20" t="s">
        <v>72</v>
      </c>
      <c r="O335" s="34" t="s">
        <v>59</v>
      </c>
      <c r="P335" s="20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25.5">
      <c r="A336" s="14">
        <f t="shared" si="264"/>
        <v>311</v>
      </c>
      <c r="B336" s="14">
        <v>18</v>
      </c>
      <c r="C336" s="22" t="s">
        <v>441</v>
      </c>
      <c r="D336" s="20"/>
      <c r="E336" s="20">
        <v>1988</v>
      </c>
      <c r="F336" s="23" t="str">
        <f t="shared" ref="F336:G336" si="274">IF(ISBLANK(D336),"",2025-D336)</f>
        <v/>
      </c>
      <c r="G336" s="20">
        <f t="shared" si="274"/>
        <v>37</v>
      </c>
      <c r="H336" s="20"/>
      <c r="I336" s="20"/>
      <c r="J336" s="14">
        <v>1</v>
      </c>
      <c r="K336" s="24"/>
      <c r="L336" s="24"/>
      <c r="M336" s="24"/>
      <c r="N336" s="20" t="s">
        <v>72</v>
      </c>
      <c r="O336" s="34" t="s">
        <v>59</v>
      </c>
      <c r="P336" s="20"/>
      <c r="Q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25.5">
      <c r="A337" s="14">
        <f t="shared" si="264"/>
        <v>312</v>
      </c>
      <c r="B337" s="14">
        <v>19</v>
      </c>
      <c r="C337" s="22" t="s">
        <v>442</v>
      </c>
      <c r="D337" s="20">
        <v>1992</v>
      </c>
      <c r="E337" s="20"/>
      <c r="F337" s="23">
        <f t="shared" ref="F337:G337" si="275">IF(ISBLANK(D337),"",2025-D337)</f>
        <v>33</v>
      </c>
      <c r="G337" s="20" t="str">
        <f t="shared" si="275"/>
        <v/>
      </c>
      <c r="H337" s="20"/>
      <c r="I337" s="20"/>
      <c r="J337" s="14">
        <v>1</v>
      </c>
      <c r="K337" s="24"/>
      <c r="L337" s="24"/>
      <c r="M337" s="24"/>
      <c r="N337" s="20" t="s">
        <v>72</v>
      </c>
      <c r="O337" s="34" t="s">
        <v>59</v>
      </c>
      <c r="P337" s="20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5">
      <c r="A338" s="14">
        <f t="shared" si="264"/>
        <v>313</v>
      </c>
      <c r="B338" s="14">
        <v>20</v>
      </c>
      <c r="C338" s="22" t="s">
        <v>443</v>
      </c>
      <c r="D338" s="20"/>
      <c r="E338" s="20">
        <v>1998</v>
      </c>
      <c r="F338" s="23" t="str">
        <f t="shared" ref="F338:G338" si="276">IF(ISBLANK(D338),"",2025-D338)</f>
        <v/>
      </c>
      <c r="G338" s="20">
        <f t="shared" si="276"/>
        <v>27</v>
      </c>
      <c r="H338" s="20"/>
      <c r="I338" s="20"/>
      <c r="J338" s="14"/>
      <c r="K338" s="24">
        <v>1</v>
      </c>
      <c r="L338" s="24"/>
      <c r="M338" s="24"/>
      <c r="N338" s="20" t="s">
        <v>154</v>
      </c>
      <c r="O338" s="67" t="s">
        <v>154</v>
      </c>
      <c r="P338" s="20"/>
      <c r="Q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30">
      <c r="A339" s="14" t="str">
        <f t="shared" si="264"/>
        <v/>
      </c>
      <c r="B339" s="14"/>
      <c r="C339" s="27" t="s">
        <v>444</v>
      </c>
      <c r="D339" s="18"/>
      <c r="E339" s="18"/>
      <c r="F339" s="23" t="str">
        <f t="shared" ref="F339:G339" si="277">IF(ISBLANK(D339),"",2025-D339)</f>
        <v/>
      </c>
      <c r="G339" s="20" t="str">
        <f t="shared" si="277"/>
        <v/>
      </c>
      <c r="H339" s="27"/>
      <c r="I339" s="27"/>
      <c r="J339" s="27"/>
      <c r="K339" s="27"/>
      <c r="L339" s="27"/>
      <c r="M339" s="27"/>
      <c r="N339" s="27"/>
      <c r="O339" s="35"/>
      <c r="P339" s="20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38.25">
      <c r="A340" s="14">
        <f t="shared" si="264"/>
        <v>314</v>
      </c>
      <c r="B340" s="14">
        <v>1</v>
      </c>
      <c r="C340" s="22" t="s">
        <v>445</v>
      </c>
      <c r="D340" s="20">
        <v>1965</v>
      </c>
      <c r="E340" s="20"/>
      <c r="F340" s="23">
        <f t="shared" ref="F340:G340" si="278">IF(ISBLANK(D340),"",2025-D340)</f>
        <v>60</v>
      </c>
      <c r="G340" s="20" t="str">
        <f t="shared" si="278"/>
        <v/>
      </c>
      <c r="H340" s="20" t="s">
        <v>117</v>
      </c>
      <c r="I340" s="20"/>
      <c r="J340" s="14">
        <v>1</v>
      </c>
      <c r="K340" s="24"/>
      <c r="L340" s="24"/>
      <c r="M340" s="24"/>
      <c r="N340" s="25" t="s">
        <v>210</v>
      </c>
      <c r="O340" s="26" t="s">
        <v>79</v>
      </c>
      <c r="P340" s="20"/>
      <c r="Q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38.25">
      <c r="A341" s="14">
        <f t="shared" si="264"/>
        <v>315</v>
      </c>
      <c r="B341" s="14">
        <v>2</v>
      </c>
      <c r="C341" s="22" t="s">
        <v>446</v>
      </c>
      <c r="D341" s="20">
        <v>1972</v>
      </c>
      <c r="E341" s="20"/>
      <c r="F341" s="23">
        <f t="shared" ref="F341:G341" si="279">IF(ISBLANK(D341),"",2025-D341)</f>
        <v>53</v>
      </c>
      <c r="G341" s="20" t="str">
        <f t="shared" si="279"/>
        <v/>
      </c>
      <c r="H341" s="20" t="s">
        <v>121</v>
      </c>
      <c r="I341" s="20"/>
      <c r="J341" s="14">
        <v>1</v>
      </c>
      <c r="K341" s="24"/>
      <c r="L341" s="24"/>
      <c r="M341" s="24"/>
      <c r="N341" s="25" t="s">
        <v>78</v>
      </c>
      <c r="O341" s="26" t="s">
        <v>79</v>
      </c>
      <c r="P341" s="20"/>
      <c r="Q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38.25">
      <c r="A342" s="14">
        <f t="shared" si="264"/>
        <v>316</v>
      </c>
      <c r="B342" s="14">
        <v>3</v>
      </c>
      <c r="C342" s="22" t="s">
        <v>447</v>
      </c>
      <c r="D342" s="20">
        <v>1991</v>
      </c>
      <c r="E342" s="20"/>
      <c r="F342" s="23">
        <f t="shared" ref="F342:G342" si="280">IF(ISBLANK(D342),"",2025-D342)</f>
        <v>34</v>
      </c>
      <c r="G342" s="20" t="str">
        <f t="shared" si="280"/>
        <v/>
      </c>
      <c r="H342" s="20"/>
      <c r="I342" s="20"/>
      <c r="J342" s="14">
        <v>1</v>
      </c>
      <c r="K342" s="24"/>
      <c r="L342" s="24"/>
      <c r="M342" s="24"/>
      <c r="N342" s="25" t="s">
        <v>448</v>
      </c>
      <c r="O342" s="26" t="s">
        <v>79</v>
      </c>
      <c r="P342" s="20"/>
      <c r="Q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5">
      <c r="A343" s="14">
        <f t="shared" si="264"/>
        <v>317</v>
      </c>
      <c r="B343" s="14">
        <v>4</v>
      </c>
      <c r="C343" s="22" t="s">
        <v>449</v>
      </c>
      <c r="D343" s="20"/>
      <c r="E343" s="20">
        <v>1994</v>
      </c>
      <c r="F343" s="23" t="str">
        <f t="shared" ref="F343:G343" si="281">IF(ISBLANK(D343),"",2025-D343)</f>
        <v/>
      </c>
      <c r="G343" s="20">
        <f t="shared" si="281"/>
        <v>31</v>
      </c>
      <c r="H343" s="20"/>
      <c r="I343" s="20"/>
      <c r="J343" s="14">
        <v>1</v>
      </c>
      <c r="K343" s="24"/>
      <c r="L343" s="24"/>
      <c r="M343" s="24"/>
      <c r="N343" s="20" t="s">
        <v>450</v>
      </c>
      <c r="O343" s="26" t="s">
        <v>79</v>
      </c>
      <c r="P343" s="20"/>
      <c r="Q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5">
      <c r="A344" s="14">
        <f t="shared" si="264"/>
        <v>318</v>
      </c>
      <c r="B344" s="14">
        <v>5</v>
      </c>
      <c r="C344" s="22" t="s">
        <v>451</v>
      </c>
      <c r="D344" s="20"/>
      <c r="E344" s="20">
        <v>1984</v>
      </c>
      <c r="F344" s="23" t="str">
        <f t="shared" ref="F344:G344" si="282">IF(ISBLANK(D344),"",2025-D344)</f>
        <v/>
      </c>
      <c r="G344" s="20">
        <f t="shared" si="282"/>
        <v>41</v>
      </c>
      <c r="H344" s="20"/>
      <c r="I344" s="20"/>
      <c r="J344" s="14">
        <v>1</v>
      </c>
      <c r="K344" s="24"/>
      <c r="L344" s="24"/>
      <c r="M344" s="24"/>
      <c r="N344" s="20" t="s">
        <v>452</v>
      </c>
      <c r="O344" s="21" t="s">
        <v>453</v>
      </c>
      <c r="P344" s="20"/>
      <c r="Q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38.25">
      <c r="A345" s="14">
        <f t="shared" si="264"/>
        <v>319</v>
      </c>
      <c r="B345" s="14">
        <v>6</v>
      </c>
      <c r="C345" s="22" t="s">
        <v>454</v>
      </c>
      <c r="D345" s="20"/>
      <c r="E345" s="20">
        <v>1990</v>
      </c>
      <c r="F345" s="23" t="str">
        <f t="shared" ref="F345:G345" si="283">IF(ISBLANK(D345),"",2025-D345)</f>
        <v/>
      </c>
      <c r="G345" s="20">
        <f t="shared" si="283"/>
        <v>35</v>
      </c>
      <c r="H345" s="20" t="s">
        <v>199</v>
      </c>
      <c r="I345" s="20"/>
      <c r="J345" s="14">
        <v>1</v>
      </c>
      <c r="K345" s="24"/>
      <c r="L345" s="24"/>
      <c r="M345" s="24"/>
      <c r="N345" s="20" t="s">
        <v>455</v>
      </c>
      <c r="O345" s="32" t="s">
        <v>165</v>
      </c>
      <c r="P345" s="20"/>
      <c r="Q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38.25">
      <c r="A346" s="14">
        <f t="shared" si="264"/>
        <v>320</v>
      </c>
      <c r="B346" s="14">
        <v>7</v>
      </c>
      <c r="C346" s="22" t="s">
        <v>456</v>
      </c>
      <c r="D346" s="20"/>
      <c r="E346" s="20">
        <v>1979</v>
      </c>
      <c r="F346" s="23" t="str">
        <f t="shared" ref="F346:G346" si="284">IF(ISBLANK(D346),"",2025-D346)</f>
        <v/>
      </c>
      <c r="G346" s="20">
        <f t="shared" si="284"/>
        <v>46</v>
      </c>
      <c r="H346" s="20"/>
      <c r="I346" s="20"/>
      <c r="J346" s="14">
        <v>1</v>
      </c>
      <c r="K346" s="24"/>
      <c r="L346" s="24"/>
      <c r="M346" s="24"/>
      <c r="N346" s="20" t="s">
        <v>457</v>
      </c>
      <c r="O346" s="32" t="s">
        <v>52</v>
      </c>
      <c r="P346" s="20"/>
      <c r="Q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38.25">
      <c r="A347" s="14">
        <f t="shared" si="264"/>
        <v>321</v>
      </c>
      <c r="B347" s="14">
        <v>8</v>
      </c>
      <c r="C347" s="22" t="s">
        <v>458</v>
      </c>
      <c r="D347" s="20"/>
      <c r="E347" s="20">
        <v>1981</v>
      </c>
      <c r="F347" s="23" t="str">
        <f t="shared" ref="F347:G347" si="285">IF(ISBLANK(D347),"",2025-D347)</f>
        <v/>
      </c>
      <c r="G347" s="20">
        <f t="shared" si="285"/>
        <v>44</v>
      </c>
      <c r="H347" s="20"/>
      <c r="I347" s="20"/>
      <c r="J347" s="14">
        <v>1</v>
      </c>
      <c r="K347" s="24"/>
      <c r="L347" s="24"/>
      <c r="M347" s="24"/>
      <c r="N347" s="20" t="s">
        <v>457</v>
      </c>
      <c r="O347" s="32" t="s">
        <v>52</v>
      </c>
      <c r="P347" s="20"/>
      <c r="Q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38.25">
      <c r="A348" s="14">
        <f t="shared" si="264"/>
        <v>322</v>
      </c>
      <c r="B348" s="14">
        <v>9</v>
      </c>
      <c r="C348" s="22" t="s">
        <v>459</v>
      </c>
      <c r="D348" s="20"/>
      <c r="E348" s="20">
        <v>1993</v>
      </c>
      <c r="F348" s="23" t="str">
        <f t="shared" ref="F348:G348" si="286">IF(ISBLANK(D348),"",2025-D348)</f>
        <v/>
      </c>
      <c r="G348" s="20">
        <f t="shared" si="286"/>
        <v>32</v>
      </c>
      <c r="H348" s="20"/>
      <c r="I348" s="20"/>
      <c r="J348" s="14">
        <v>1</v>
      </c>
      <c r="K348" s="24"/>
      <c r="L348" s="24"/>
      <c r="M348" s="24"/>
      <c r="N348" s="20" t="s">
        <v>457</v>
      </c>
      <c r="O348" s="32" t="s">
        <v>52</v>
      </c>
      <c r="P348" s="20"/>
      <c r="Q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5">
      <c r="A349" s="14">
        <f t="shared" si="264"/>
        <v>323</v>
      </c>
      <c r="B349" s="14">
        <v>10</v>
      </c>
      <c r="C349" s="22" t="s">
        <v>460</v>
      </c>
      <c r="D349" s="20"/>
      <c r="E349" s="20">
        <v>1993</v>
      </c>
      <c r="F349" s="23" t="str">
        <f t="shared" ref="F349:G349" si="287">IF(ISBLANK(D349),"",2025-D349)</f>
        <v/>
      </c>
      <c r="G349" s="20">
        <f t="shared" si="287"/>
        <v>32</v>
      </c>
      <c r="H349" s="20"/>
      <c r="I349" s="20"/>
      <c r="J349" s="14">
        <v>1</v>
      </c>
      <c r="K349" s="24"/>
      <c r="L349" s="24"/>
      <c r="M349" s="24"/>
      <c r="N349" s="36" t="s">
        <v>58</v>
      </c>
      <c r="O349" s="34" t="s">
        <v>64</v>
      </c>
      <c r="P349" s="20"/>
      <c r="Q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5">
      <c r="A350" s="14" t="str">
        <f t="shared" si="264"/>
        <v/>
      </c>
      <c r="B350" s="14"/>
      <c r="C350" s="27" t="s">
        <v>461</v>
      </c>
      <c r="D350" s="18"/>
      <c r="E350" s="18"/>
      <c r="F350" s="23" t="str">
        <f t="shared" ref="F350:G350" si="288">IF(ISBLANK(D350),"",2025-D350)</f>
        <v/>
      </c>
      <c r="G350" s="20" t="str">
        <f t="shared" si="288"/>
        <v/>
      </c>
      <c r="H350" s="27"/>
      <c r="I350" s="27"/>
      <c r="J350" s="27"/>
      <c r="K350" s="27"/>
      <c r="L350" s="27"/>
      <c r="M350" s="54"/>
      <c r="N350" s="54"/>
      <c r="O350" s="68"/>
      <c r="P350" s="20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25.5">
      <c r="A351" s="14">
        <f t="shared" si="264"/>
        <v>324</v>
      </c>
      <c r="B351" s="14">
        <v>1</v>
      </c>
      <c r="C351" s="22" t="s">
        <v>462</v>
      </c>
      <c r="D351" s="20"/>
      <c r="E351" s="20">
        <v>1973</v>
      </c>
      <c r="F351" s="23" t="str">
        <f t="shared" ref="F351:G351" si="289">IF(ISBLANK(D351),"",2025-D351)</f>
        <v/>
      </c>
      <c r="G351" s="20">
        <f t="shared" si="289"/>
        <v>52</v>
      </c>
      <c r="H351" s="20" t="s">
        <v>34</v>
      </c>
      <c r="I351" s="20"/>
      <c r="J351" s="14">
        <v>1</v>
      </c>
      <c r="K351" s="24"/>
      <c r="L351" s="24"/>
      <c r="M351" s="24"/>
      <c r="N351" s="20" t="s">
        <v>463</v>
      </c>
      <c r="O351" s="21" t="s">
        <v>464</v>
      </c>
      <c r="P351" s="20"/>
      <c r="Q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5">
      <c r="A352" s="14">
        <f t="shared" si="264"/>
        <v>325</v>
      </c>
      <c r="B352" s="14">
        <v>2</v>
      </c>
      <c r="C352" s="22" t="s">
        <v>465</v>
      </c>
      <c r="D352" s="20">
        <v>1986</v>
      </c>
      <c r="E352" s="20"/>
      <c r="F352" s="23">
        <f t="shared" ref="F352:G352" si="290">IF(ISBLANK(D352),"",2025-D352)</f>
        <v>39</v>
      </c>
      <c r="G352" s="20" t="str">
        <f t="shared" si="290"/>
        <v/>
      </c>
      <c r="H352" s="20"/>
      <c r="I352" s="20"/>
      <c r="J352" s="14">
        <v>1</v>
      </c>
      <c r="K352" s="24"/>
      <c r="L352" s="24"/>
      <c r="M352" s="24"/>
      <c r="N352" s="20" t="s">
        <v>463</v>
      </c>
      <c r="O352" s="21" t="s">
        <v>464</v>
      </c>
      <c r="P352" s="20"/>
      <c r="Q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5">
      <c r="A353" s="14">
        <f t="shared" si="264"/>
        <v>326</v>
      </c>
      <c r="B353" s="14">
        <v>3</v>
      </c>
      <c r="C353" s="22" t="s">
        <v>466</v>
      </c>
      <c r="D353" s="20"/>
      <c r="E353" s="20">
        <v>1985</v>
      </c>
      <c r="F353" s="23" t="str">
        <f t="shared" ref="F353:G353" si="291">IF(ISBLANK(D353),"",2025-D353)</f>
        <v/>
      </c>
      <c r="G353" s="20">
        <f t="shared" si="291"/>
        <v>40</v>
      </c>
      <c r="H353" s="20"/>
      <c r="I353" s="20"/>
      <c r="J353" s="14">
        <v>1</v>
      </c>
      <c r="K353" s="24"/>
      <c r="L353" s="24"/>
      <c r="M353" s="24"/>
      <c r="N353" s="20" t="s">
        <v>463</v>
      </c>
      <c r="O353" s="21" t="s">
        <v>464</v>
      </c>
      <c r="P353" s="20"/>
      <c r="Q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25.5">
      <c r="A354" s="14">
        <f t="shared" si="264"/>
        <v>327</v>
      </c>
      <c r="B354" s="14">
        <v>4</v>
      </c>
      <c r="C354" s="22" t="s">
        <v>467</v>
      </c>
      <c r="D354" s="20"/>
      <c r="E354" s="20">
        <v>1995</v>
      </c>
      <c r="F354" s="23" t="str">
        <f t="shared" ref="F354:G354" si="292">IF(ISBLANK(D354),"",2025-D354)</f>
        <v/>
      </c>
      <c r="G354" s="20">
        <f t="shared" si="292"/>
        <v>30</v>
      </c>
      <c r="H354" s="20"/>
      <c r="I354" s="20"/>
      <c r="J354" s="14">
        <v>1</v>
      </c>
      <c r="K354" s="24"/>
      <c r="L354" s="24"/>
      <c r="M354" s="24"/>
      <c r="N354" s="20" t="s">
        <v>86</v>
      </c>
      <c r="O354" s="40" t="s">
        <v>82</v>
      </c>
      <c r="P354" s="20"/>
      <c r="Q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5">
      <c r="A355" s="14">
        <f t="shared" si="264"/>
        <v>328</v>
      </c>
      <c r="B355" s="14">
        <v>5</v>
      </c>
      <c r="C355" s="22" t="s">
        <v>468</v>
      </c>
      <c r="D355" s="20"/>
      <c r="E355" s="20">
        <v>1995</v>
      </c>
      <c r="F355" s="23" t="str">
        <f t="shared" ref="F355:G355" si="293">IF(ISBLANK(D355),"",2025-D355)</f>
        <v/>
      </c>
      <c r="G355" s="20">
        <f t="shared" si="293"/>
        <v>30</v>
      </c>
      <c r="H355" s="20"/>
      <c r="I355" s="20"/>
      <c r="J355" s="14">
        <v>1</v>
      </c>
      <c r="K355" s="24"/>
      <c r="L355" s="24"/>
      <c r="M355" s="24"/>
      <c r="N355" s="20" t="s">
        <v>371</v>
      </c>
      <c r="O355" s="38" t="s">
        <v>366</v>
      </c>
      <c r="P355" s="20"/>
      <c r="Q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30">
      <c r="A356" s="14" t="str">
        <f t="shared" si="264"/>
        <v/>
      </c>
      <c r="B356" s="14"/>
      <c r="C356" s="27" t="s">
        <v>469</v>
      </c>
      <c r="D356" s="18"/>
      <c r="E356" s="18"/>
      <c r="F356" s="23" t="str">
        <f t="shared" ref="F356:G356" si="294">IF(ISBLANK(D356),"",2025-D356)</f>
        <v/>
      </c>
      <c r="G356" s="20" t="str">
        <f t="shared" si="294"/>
        <v/>
      </c>
      <c r="H356" s="27"/>
      <c r="I356" s="27"/>
      <c r="J356" s="27"/>
      <c r="K356" s="27"/>
      <c r="L356" s="27"/>
      <c r="M356" s="54"/>
      <c r="N356" s="54"/>
      <c r="O356" s="68"/>
      <c r="P356" s="20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38.25">
      <c r="A357" s="14">
        <f t="shared" si="264"/>
        <v>329</v>
      </c>
      <c r="B357" s="14">
        <v>1</v>
      </c>
      <c r="C357" s="22" t="s">
        <v>470</v>
      </c>
      <c r="D357" s="20">
        <v>1975</v>
      </c>
      <c r="E357" s="20"/>
      <c r="F357" s="23">
        <f t="shared" ref="F357:G357" si="295">IF(ISBLANK(D357),"",2025-D357)</f>
        <v>50</v>
      </c>
      <c r="G357" s="20" t="str">
        <f t="shared" si="295"/>
        <v/>
      </c>
      <c r="H357" s="20" t="s">
        <v>117</v>
      </c>
      <c r="I357" s="20" t="s">
        <v>24</v>
      </c>
      <c r="J357" s="14">
        <v>1</v>
      </c>
      <c r="K357" s="24"/>
      <c r="L357" s="24"/>
      <c r="M357" s="24"/>
      <c r="N357" s="20" t="s">
        <v>471</v>
      </c>
      <c r="O357" s="21" t="s">
        <v>472</v>
      </c>
      <c r="P357" s="20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25.5">
      <c r="A358" s="14">
        <f t="shared" si="264"/>
        <v>330</v>
      </c>
      <c r="B358" s="14">
        <v>2</v>
      </c>
      <c r="C358" s="22" t="s">
        <v>473</v>
      </c>
      <c r="D358" s="20"/>
      <c r="E358" s="20">
        <v>1989</v>
      </c>
      <c r="F358" s="23" t="str">
        <f t="shared" ref="F358:G358" si="296">IF(ISBLANK(D358),"",2025-D358)</f>
        <v/>
      </c>
      <c r="G358" s="20">
        <f t="shared" si="296"/>
        <v>36</v>
      </c>
      <c r="H358" s="20" t="s">
        <v>121</v>
      </c>
      <c r="I358" s="20" t="s">
        <v>24</v>
      </c>
      <c r="J358" s="14">
        <v>1</v>
      </c>
      <c r="K358" s="24"/>
      <c r="L358" s="24"/>
      <c r="M358" s="24"/>
      <c r="N358" s="20" t="s">
        <v>474</v>
      </c>
      <c r="O358" s="21" t="s">
        <v>94</v>
      </c>
      <c r="P358" s="20"/>
      <c r="Q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5">
      <c r="A359" s="14">
        <f t="shared" si="264"/>
        <v>331</v>
      </c>
      <c r="B359" s="14">
        <v>3</v>
      </c>
      <c r="C359" s="22" t="s">
        <v>475</v>
      </c>
      <c r="D359" s="20">
        <v>1985</v>
      </c>
      <c r="E359" s="20"/>
      <c r="F359" s="23">
        <f t="shared" ref="F359:G359" si="297">IF(ISBLANK(D359),"",2025-D359)</f>
        <v>40</v>
      </c>
      <c r="G359" s="20" t="str">
        <f t="shared" si="297"/>
        <v/>
      </c>
      <c r="H359" s="20"/>
      <c r="I359" s="20"/>
      <c r="J359" s="14">
        <v>1</v>
      </c>
      <c r="K359" s="24"/>
      <c r="L359" s="24"/>
      <c r="M359" s="24"/>
      <c r="N359" s="20" t="s">
        <v>163</v>
      </c>
      <c r="O359" s="26" t="s">
        <v>79</v>
      </c>
      <c r="P359" s="20"/>
      <c r="Q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25.5">
      <c r="A360" s="14">
        <f t="shared" si="264"/>
        <v>332</v>
      </c>
      <c r="B360" s="14">
        <v>4</v>
      </c>
      <c r="C360" s="22" t="s">
        <v>476</v>
      </c>
      <c r="D360" s="20">
        <v>1985</v>
      </c>
      <c r="E360" s="20"/>
      <c r="F360" s="23">
        <f t="shared" ref="F360:G360" si="298">IF(ISBLANK(D360),"",2025-D360)</f>
        <v>40</v>
      </c>
      <c r="G360" s="20" t="str">
        <f t="shared" si="298"/>
        <v/>
      </c>
      <c r="H360" s="20"/>
      <c r="I360" s="20"/>
      <c r="J360" s="14">
        <v>1</v>
      </c>
      <c r="K360" s="24"/>
      <c r="L360" s="24"/>
      <c r="M360" s="24"/>
      <c r="N360" s="20" t="s">
        <v>86</v>
      </c>
      <c r="O360" s="40" t="s">
        <v>82</v>
      </c>
      <c r="P360" s="20"/>
      <c r="Q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25.5">
      <c r="A361" s="14">
        <f t="shared" si="264"/>
        <v>333</v>
      </c>
      <c r="B361" s="14">
        <v>5</v>
      </c>
      <c r="C361" s="22" t="s">
        <v>477</v>
      </c>
      <c r="D361" s="20"/>
      <c r="E361" s="20">
        <v>1994</v>
      </c>
      <c r="F361" s="23" t="str">
        <f t="shared" ref="F361:G361" si="299">IF(ISBLANK(D361),"",2025-D361)</f>
        <v/>
      </c>
      <c r="G361" s="20">
        <f t="shared" si="299"/>
        <v>31</v>
      </c>
      <c r="H361" s="20"/>
      <c r="I361" s="20"/>
      <c r="J361" s="14">
        <v>1</v>
      </c>
      <c r="K361" s="24"/>
      <c r="L361" s="24"/>
      <c r="M361" s="24"/>
      <c r="N361" s="20" t="s">
        <v>86</v>
      </c>
      <c r="O361" s="40" t="s">
        <v>82</v>
      </c>
      <c r="P361" s="20"/>
      <c r="Q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25.5">
      <c r="A362" s="14">
        <f t="shared" si="264"/>
        <v>334</v>
      </c>
      <c r="B362" s="14">
        <v>6</v>
      </c>
      <c r="C362" s="22" t="s">
        <v>478</v>
      </c>
      <c r="D362" s="20"/>
      <c r="E362" s="20">
        <v>1998</v>
      </c>
      <c r="F362" s="23" t="str">
        <f t="shared" ref="F362:G362" si="300">IF(ISBLANK(D362),"",2025-D362)</f>
        <v/>
      </c>
      <c r="G362" s="20">
        <f t="shared" si="300"/>
        <v>27</v>
      </c>
      <c r="H362" s="20"/>
      <c r="I362" s="20"/>
      <c r="J362" s="14">
        <v>1</v>
      </c>
      <c r="K362" s="24"/>
      <c r="L362" s="24"/>
      <c r="M362" s="24"/>
      <c r="N362" s="20" t="s">
        <v>86</v>
      </c>
      <c r="O362" s="40" t="s">
        <v>82</v>
      </c>
      <c r="P362" s="20"/>
      <c r="Q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5">
      <c r="A363" s="14">
        <f t="shared" si="264"/>
        <v>335</v>
      </c>
      <c r="B363" s="14">
        <v>7</v>
      </c>
      <c r="C363" s="22" t="s">
        <v>479</v>
      </c>
      <c r="D363" s="20"/>
      <c r="E363" s="20">
        <v>1978</v>
      </c>
      <c r="F363" s="23" t="str">
        <f t="shared" ref="F363:G363" si="301">IF(ISBLANK(D363),"",2025-D363)</f>
        <v/>
      </c>
      <c r="G363" s="20">
        <f t="shared" si="301"/>
        <v>47</v>
      </c>
      <c r="H363" s="20"/>
      <c r="I363" s="20"/>
      <c r="J363" s="14">
        <v>1</v>
      </c>
      <c r="K363" s="24"/>
      <c r="L363" s="24"/>
      <c r="M363" s="24"/>
      <c r="N363" s="36" t="s">
        <v>58</v>
      </c>
      <c r="O363" s="34" t="s">
        <v>64</v>
      </c>
      <c r="P363" s="20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5">
      <c r="A364" s="14">
        <f t="shared" si="264"/>
        <v>336</v>
      </c>
      <c r="B364" s="14">
        <v>8</v>
      </c>
      <c r="C364" s="22" t="s">
        <v>480</v>
      </c>
      <c r="D364" s="20"/>
      <c r="E364" s="20">
        <v>1990</v>
      </c>
      <c r="F364" s="23" t="str">
        <f t="shared" ref="F364:G364" si="302">IF(ISBLANK(D364),"",2025-D364)</f>
        <v/>
      </c>
      <c r="G364" s="20">
        <f t="shared" si="302"/>
        <v>35</v>
      </c>
      <c r="H364" s="20"/>
      <c r="I364" s="20"/>
      <c r="J364" s="14">
        <v>1</v>
      </c>
      <c r="K364" s="24"/>
      <c r="L364" s="24"/>
      <c r="M364" s="24"/>
      <c r="N364" s="36" t="s">
        <v>58</v>
      </c>
      <c r="O364" s="34" t="s">
        <v>64</v>
      </c>
      <c r="P364" s="20"/>
      <c r="Q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25.5">
      <c r="A365" s="14">
        <f t="shared" si="264"/>
        <v>337</v>
      </c>
      <c r="B365" s="14">
        <v>9</v>
      </c>
      <c r="C365" s="22" t="s">
        <v>481</v>
      </c>
      <c r="D365" s="20"/>
      <c r="E365" s="20">
        <v>1969</v>
      </c>
      <c r="F365" s="23" t="str">
        <f t="shared" ref="F365:G365" si="303">IF(ISBLANK(D365),"",2025-D365)</f>
        <v/>
      </c>
      <c r="G365" s="20">
        <f t="shared" si="303"/>
        <v>56</v>
      </c>
      <c r="H365" s="20"/>
      <c r="I365" s="20"/>
      <c r="J365" s="14">
        <v>1</v>
      </c>
      <c r="K365" s="24"/>
      <c r="L365" s="24"/>
      <c r="M365" s="24"/>
      <c r="N365" s="20" t="s">
        <v>482</v>
      </c>
      <c r="O365" s="34" t="s">
        <v>59</v>
      </c>
      <c r="P365" s="20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5">
      <c r="A366" s="14">
        <f t="shared" si="264"/>
        <v>338</v>
      </c>
      <c r="B366" s="14">
        <v>10</v>
      </c>
      <c r="C366" s="22" t="s">
        <v>483</v>
      </c>
      <c r="D366" s="20">
        <v>1990</v>
      </c>
      <c r="E366" s="20"/>
      <c r="F366" s="23">
        <f t="shared" ref="F366:G366" si="304">IF(ISBLANK(D366),"",2025-D366)</f>
        <v>35</v>
      </c>
      <c r="G366" s="20" t="str">
        <f t="shared" si="304"/>
        <v/>
      </c>
      <c r="H366" s="20"/>
      <c r="I366" s="20"/>
      <c r="J366" s="14">
        <v>1</v>
      </c>
      <c r="K366" s="24"/>
      <c r="L366" s="24"/>
      <c r="M366" s="24"/>
      <c r="N366" s="20" t="s">
        <v>484</v>
      </c>
      <c r="O366" s="21" t="s">
        <v>453</v>
      </c>
      <c r="P366" s="20"/>
      <c r="Q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5">
      <c r="A367" s="14">
        <f t="shared" si="264"/>
        <v>339</v>
      </c>
      <c r="B367" s="14">
        <v>11</v>
      </c>
      <c r="C367" s="22" t="s">
        <v>485</v>
      </c>
      <c r="D367" s="20">
        <v>1991</v>
      </c>
      <c r="E367" s="20"/>
      <c r="F367" s="23">
        <f t="shared" ref="F367:G367" si="305">IF(ISBLANK(D367),"",2025-D367)</f>
        <v>34</v>
      </c>
      <c r="G367" s="20" t="str">
        <f t="shared" si="305"/>
        <v/>
      </c>
      <c r="H367" s="20"/>
      <c r="I367" s="20"/>
      <c r="J367" s="14">
        <v>1</v>
      </c>
      <c r="K367" s="24"/>
      <c r="L367" s="24"/>
      <c r="M367" s="24"/>
      <c r="N367" s="20" t="s">
        <v>484</v>
      </c>
      <c r="O367" s="21" t="s">
        <v>453</v>
      </c>
      <c r="P367" s="20"/>
      <c r="Q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38.25">
      <c r="A368" s="14">
        <f t="shared" si="264"/>
        <v>340</v>
      </c>
      <c r="B368" s="14">
        <v>12</v>
      </c>
      <c r="C368" s="22" t="s">
        <v>486</v>
      </c>
      <c r="D368" s="20">
        <v>1991</v>
      </c>
      <c r="E368" s="20"/>
      <c r="F368" s="23">
        <f t="shared" ref="F368:G368" si="306">IF(ISBLANK(D368),"",2025-D368)</f>
        <v>34</v>
      </c>
      <c r="G368" s="20" t="str">
        <f t="shared" si="306"/>
        <v/>
      </c>
      <c r="H368" s="20"/>
      <c r="I368" s="20"/>
      <c r="J368" s="14">
        <v>1</v>
      </c>
      <c r="K368" s="24"/>
      <c r="L368" s="24"/>
      <c r="M368" s="24"/>
      <c r="N368" s="44" t="s">
        <v>164</v>
      </c>
      <c r="O368" s="32" t="s">
        <v>165</v>
      </c>
      <c r="P368" s="20"/>
      <c r="Q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45">
      <c r="A369" s="14" t="str">
        <f t="shared" si="264"/>
        <v/>
      </c>
      <c r="B369" s="14"/>
      <c r="C369" s="27" t="s">
        <v>487</v>
      </c>
      <c r="D369" s="18"/>
      <c r="E369" s="18"/>
      <c r="F369" s="23" t="str">
        <f t="shared" ref="F369:G369" si="307">IF(ISBLANK(D369),"",2025-D369)</f>
        <v/>
      </c>
      <c r="G369" s="20" t="str">
        <f t="shared" si="307"/>
        <v/>
      </c>
      <c r="H369" s="27"/>
      <c r="I369" s="27"/>
      <c r="J369" s="27"/>
      <c r="K369" s="27"/>
      <c r="L369" s="27"/>
      <c r="M369" s="27"/>
      <c r="N369" s="27"/>
      <c r="O369" s="28"/>
      <c r="P369" s="17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38.25">
      <c r="A370" s="14">
        <f t="shared" si="264"/>
        <v>341</v>
      </c>
      <c r="B370" s="14">
        <v>1</v>
      </c>
      <c r="C370" s="22" t="s">
        <v>488</v>
      </c>
      <c r="D370" s="20"/>
      <c r="E370" s="20">
        <v>1992</v>
      </c>
      <c r="F370" s="23" t="str">
        <f t="shared" ref="F370:G370" si="308">IF(ISBLANK(D370),"",2025-D370)</f>
        <v/>
      </c>
      <c r="G370" s="20">
        <f t="shared" si="308"/>
        <v>33</v>
      </c>
      <c r="H370" s="20" t="s">
        <v>121</v>
      </c>
      <c r="I370" s="20"/>
      <c r="J370" s="14">
        <v>1</v>
      </c>
      <c r="K370" s="24"/>
      <c r="L370" s="24"/>
      <c r="M370" s="24"/>
      <c r="N370" s="69" t="s">
        <v>489</v>
      </c>
      <c r="O370" s="40" t="s">
        <v>82</v>
      </c>
      <c r="P370" s="20"/>
      <c r="Q370" s="6"/>
      <c r="S370" s="6"/>
      <c r="T370" s="6" t="s">
        <v>490</v>
      </c>
      <c r="U370" s="6"/>
      <c r="V370" s="6"/>
      <c r="W370" s="6"/>
      <c r="X370" s="6"/>
      <c r="Y370" s="6"/>
      <c r="Z370" s="6"/>
      <c r="AA370" s="6"/>
    </row>
    <row r="371" spans="1:27" ht="38.25">
      <c r="A371" s="14">
        <f t="shared" si="264"/>
        <v>342</v>
      </c>
      <c r="B371" s="14">
        <v>2</v>
      </c>
      <c r="C371" s="22" t="s">
        <v>491</v>
      </c>
      <c r="D371" s="20"/>
      <c r="E371" s="20">
        <v>1992</v>
      </c>
      <c r="F371" s="23" t="str">
        <f t="shared" ref="F371:G371" si="309">IF(ISBLANK(D371),"",2025-D371)</f>
        <v/>
      </c>
      <c r="G371" s="20">
        <f t="shared" si="309"/>
        <v>33</v>
      </c>
      <c r="H371" s="21" t="s">
        <v>117</v>
      </c>
      <c r="I371" s="21"/>
      <c r="J371" s="14">
        <v>1</v>
      </c>
      <c r="K371" s="24"/>
      <c r="L371" s="24"/>
      <c r="M371" s="24"/>
      <c r="N371" s="69" t="s">
        <v>492</v>
      </c>
      <c r="O371" s="40" t="s">
        <v>82</v>
      </c>
      <c r="P371" s="20"/>
      <c r="Q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25.5">
      <c r="A372" s="14">
        <f t="shared" si="264"/>
        <v>343</v>
      </c>
      <c r="B372" s="14">
        <v>3</v>
      </c>
      <c r="C372" s="22" t="s">
        <v>493</v>
      </c>
      <c r="D372" s="20">
        <v>1993</v>
      </c>
      <c r="E372" s="20"/>
      <c r="F372" s="23">
        <f t="shared" ref="F372:G372" si="310">IF(ISBLANK(D372),"",2025-D372)</f>
        <v>32</v>
      </c>
      <c r="G372" s="20" t="str">
        <f t="shared" si="310"/>
        <v/>
      </c>
      <c r="H372" s="20"/>
      <c r="I372" s="20"/>
      <c r="J372" s="14">
        <v>1</v>
      </c>
      <c r="K372" s="24"/>
      <c r="L372" s="24"/>
      <c r="M372" s="24"/>
      <c r="N372" s="70" t="s">
        <v>494</v>
      </c>
      <c r="O372" s="40" t="s">
        <v>82</v>
      </c>
      <c r="P372" s="20"/>
      <c r="Q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25.5">
      <c r="A373" s="14">
        <f t="shared" si="264"/>
        <v>344</v>
      </c>
      <c r="B373" s="14">
        <v>4</v>
      </c>
      <c r="C373" s="22" t="s">
        <v>495</v>
      </c>
      <c r="D373" s="20"/>
      <c r="E373" s="20">
        <v>1996</v>
      </c>
      <c r="F373" s="23" t="str">
        <f t="shared" ref="F373:G373" si="311">IF(ISBLANK(D373),"",2025-D373)</f>
        <v/>
      </c>
      <c r="G373" s="20">
        <f t="shared" si="311"/>
        <v>29</v>
      </c>
      <c r="H373" s="20"/>
      <c r="I373" s="20"/>
      <c r="J373" s="14">
        <v>1</v>
      </c>
      <c r="K373" s="24"/>
      <c r="L373" s="24"/>
      <c r="M373" s="24"/>
      <c r="N373" s="20" t="s">
        <v>86</v>
      </c>
      <c r="O373" s="40" t="s">
        <v>82</v>
      </c>
      <c r="P373" s="20"/>
      <c r="Q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6.5" customHeight="1">
      <c r="A374" s="14">
        <f t="shared" si="264"/>
        <v>345</v>
      </c>
      <c r="B374" s="14">
        <v>5</v>
      </c>
      <c r="C374" s="22" t="s">
        <v>496</v>
      </c>
      <c r="D374" s="20">
        <v>1998</v>
      </c>
      <c r="E374" s="20"/>
      <c r="F374" s="23">
        <f t="shared" ref="F374:G374" si="312">IF(ISBLANK(D374),"",2025-D374)</f>
        <v>27</v>
      </c>
      <c r="G374" s="20" t="str">
        <f t="shared" si="312"/>
        <v/>
      </c>
      <c r="H374" s="20"/>
      <c r="I374" s="20"/>
      <c r="J374" s="14">
        <v>1</v>
      </c>
      <c r="K374" s="54"/>
      <c r="L374" s="14"/>
      <c r="M374" s="54"/>
      <c r="N374" s="20" t="s">
        <v>86</v>
      </c>
      <c r="O374" s="40" t="s">
        <v>82</v>
      </c>
      <c r="P374" s="20"/>
      <c r="Q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25.5">
      <c r="A375" s="14">
        <f t="shared" si="264"/>
        <v>346</v>
      </c>
      <c r="B375" s="14">
        <v>6</v>
      </c>
      <c r="C375" s="22" t="s">
        <v>497</v>
      </c>
      <c r="D375" s="20"/>
      <c r="E375" s="20">
        <v>1992</v>
      </c>
      <c r="F375" s="23" t="str">
        <f t="shared" ref="F375:G375" si="313">IF(ISBLANK(D375),"",2025-D375)</f>
        <v/>
      </c>
      <c r="G375" s="20">
        <f t="shared" si="313"/>
        <v>33</v>
      </c>
      <c r="H375" s="20"/>
      <c r="I375" s="20"/>
      <c r="J375" s="14">
        <v>1</v>
      </c>
      <c r="K375" s="54"/>
      <c r="L375" s="14"/>
      <c r="M375" s="54"/>
      <c r="N375" s="20" t="s">
        <v>86</v>
      </c>
      <c r="O375" s="40" t="s">
        <v>82</v>
      </c>
      <c r="P375" s="20"/>
      <c r="Q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25.5">
      <c r="A376" s="14">
        <f t="shared" si="264"/>
        <v>347</v>
      </c>
      <c r="B376" s="14">
        <v>7</v>
      </c>
      <c r="C376" s="22" t="s">
        <v>498</v>
      </c>
      <c r="D376" s="20"/>
      <c r="E376" s="20">
        <v>1988</v>
      </c>
      <c r="F376" s="23" t="str">
        <f t="shared" ref="F376:G376" si="314">IF(ISBLANK(D376),"",2025-D376)</f>
        <v/>
      </c>
      <c r="G376" s="20">
        <f t="shared" si="314"/>
        <v>37</v>
      </c>
      <c r="H376" s="20"/>
      <c r="I376" s="20"/>
      <c r="J376" s="14">
        <v>1</v>
      </c>
      <c r="K376" s="24"/>
      <c r="L376" s="24"/>
      <c r="M376" s="24"/>
      <c r="N376" s="20" t="s">
        <v>499</v>
      </c>
      <c r="O376" s="21" t="s">
        <v>472</v>
      </c>
      <c r="P376" s="20"/>
      <c r="Q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25.5">
      <c r="A377" s="14">
        <f t="shared" si="264"/>
        <v>348</v>
      </c>
      <c r="B377" s="14">
        <v>8</v>
      </c>
      <c r="C377" s="22" t="s">
        <v>294</v>
      </c>
      <c r="D377" s="20"/>
      <c r="E377" s="20">
        <v>1983</v>
      </c>
      <c r="F377" s="23" t="str">
        <f t="shared" ref="F377:G377" si="315">IF(ISBLANK(D377),"",2025-D377)</f>
        <v/>
      </c>
      <c r="G377" s="20">
        <f t="shared" si="315"/>
        <v>42</v>
      </c>
      <c r="H377" s="20"/>
      <c r="I377" s="20"/>
      <c r="J377" s="14">
        <v>1</v>
      </c>
      <c r="K377" s="24"/>
      <c r="L377" s="24"/>
      <c r="M377" s="24"/>
      <c r="N377" s="20" t="s">
        <v>474</v>
      </c>
      <c r="O377" s="21" t="s">
        <v>94</v>
      </c>
      <c r="P377" s="20"/>
      <c r="Q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30">
      <c r="A378" s="14" t="str">
        <f t="shared" si="264"/>
        <v/>
      </c>
      <c r="B378" s="14"/>
      <c r="C378" s="27" t="s">
        <v>500</v>
      </c>
      <c r="D378" s="18"/>
      <c r="E378" s="18"/>
      <c r="F378" s="23" t="str">
        <f t="shared" ref="F378:G378" si="316">IF(ISBLANK(D378),"",2025-D378)</f>
        <v/>
      </c>
      <c r="G378" s="20" t="str">
        <f t="shared" si="316"/>
        <v/>
      </c>
      <c r="H378" s="27"/>
      <c r="I378" s="27"/>
      <c r="J378" s="27"/>
      <c r="K378" s="27"/>
      <c r="L378" s="27"/>
      <c r="M378" s="27"/>
      <c r="N378" s="27"/>
      <c r="O378" s="28"/>
      <c r="P378" s="17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25.5">
      <c r="A379" s="14">
        <f t="shared" si="264"/>
        <v>349</v>
      </c>
      <c r="B379" s="14">
        <v>1</v>
      </c>
      <c r="C379" s="22" t="s">
        <v>501</v>
      </c>
      <c r="D379" s="20"/>
      <c r="E379" s="20">
        <v>1980</v>
      </c>
      <c r="F379" s="23" t="str">
        <f t="shared" ref="F379:G379" si="317">IF(ISBLANK(D379),"",2025-D379)</f>
        <v/>
      </c>
      <c r="G379" s="20">
        <f t="shared" si="317"/>
        <v>45</v>
      </c>
      <c r="H379" s="20" t="s">
        <v>502</v>
      </c>
      <c r="I379" s="20" t="s">
        <v>24</v>
      </c>
      <c r="J379" s="14">
        <v>1</v>
      </c>
      <c r="K379" s="24"/>
      <c r="L379" s="24"/>
      <c r="M379" s="24"/>
      <c r="N379" s="20" t="s">
        <v>484</v>
      </c>
      <c r="O379" s="21" t="s">
        <v>453</v>
      </c>
      <c r="P379" s="20"/>
      <c r="Q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5">
      <c r="A380" s="14">
        <f t="shared" si="264"/>
        <v>350</v>
      </c>
      <c r="B380" s="14">
        <v>2</v>
      </c>
      <c r="C380" s="22" t="s">
        <v>503</v>
      </c>
      <c r="D380" s="20"/>
      <c r="E380" s="20">
        <v>1991</v>
      </c>
      <c r="F380" s="23" t="str">
        <f t="shared" ref="F380:G380" si="318">IF(ISBLANK(D380),"",2025-D380)</f>
        <v/>
      </c>
      <c r="G380" s="20">
        <f t="shared" si="318"/>
        <v>34</v>
      </c>
      <c r="H380" s="20"/>
      <c r="I380" s="20"/>
      <c r="J380" s="14">
        <v>1</v>
      </c>
      <c r="K380" s="24"/>
      <c r="L380" s="24"/>
      <c r="M380" s="24"/>
      <c r="N380" s="20" t="s">
        <v>484</v>
      </c>
      <c r="O380" s="21" t="s">
        <v>453</v>
      </c>
      <c r="P380" s="20"/>
      <c r="Q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25.5">
      <c r="A381" s="14">
        <f t="shared" si="264"/>
        <v>351</v>
      </c>
      <c r="B381" s="14">
        <v>3</v>
      </c>
      <c r="C381" s="22" t="s">
        <v>504</v>
      </c>
      <c r="D381" s="20">
        <v>1994</v>
      </c>
      <c r="E381" s="20"/>
      <c r="F381" s="23">
        <f t="shared" ref="F381:G381" si="319">IF(ISBLANK(D381),"",2025-D381)</f>
        <v>31</v>
      </c>
      <c r="G381" s="20" t="str">
        <f t="shared" si="319"/>
        <v/>
      </c>
      <c r="H381" s="20"/>
      <c r="I381" s="20"/>
      <c r="J381" s="14">
        <v>1</v>
      </c>
      <c r="K381" s="24"/>
      <c r="L381" s="24"/>
      <c r="M381" s="24"/>
      <c r="N381" s="20" t="s">
        <v>86</v>
      </c>
      <c r="O381" s="40" t="s">
        <v>82</v>
      </c>
      <c r="P381" s="20"/>
      <c r="Q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5">
      <c r="A382" s="14">
        <f t="shared" si="264"/>
        <v>352</v>
      </c>
      <c r="B382" s="14">
        <v>4</v>
      </c>
      <c r="C382" s="22" t="s">
        <v>505</v>
      </c>
      <c r="D382" s="20"/>
      <c r="E382" s="20">
        <v>1978</v>
      </c>
      <c r="F382" s="23" t="str">
        <f t="shared" ref="F382:G382" si="320">IF(ISBLANK(D382),"",2025-D382)</f>
        <v/>
      </c>
      <c r="G382" s="20">
        <f t="shared" si="320"/>
        <v>47</v>
      </c>
      <c r="H382" s="20"/>
      <c r="I382" s="20"/>
      <c r="J382" s="14">
        <v>1</v>
      </c>
      <c r="K382" s="24"/>
      <c r="L382" s="24"/>
      <c r="M382" s="24"/>
      <c r="N382" s="20" t="s">
        <v>66</v>
      </c>
      <c r="O382" s="38" t="s">
        <v>366</v>
      </c>
      <c r="P382" s="20"/>
      <c r="Q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5">
      <c r="A383" s="14">
        <f t="shared" si="264"/>
        <v>353</v>
      </c>
      <c r="B383" s="14">
        <v>5</v>
      </c>
      <c r="C383" s="22" t="s">
        <v>506</v>
      </c>
      <c r="D383" s="20"/>
      <c r="E383" s="20">
        <v>1982</v>
      </c>
      <c r="F383" s="23" t="str">
        <f t="shared" ref="F383:G383" si="321">IF(ISBLANK(D383),"",2025-D383)</f>
        <v/>
      </c>
      <c r="G383" s="20">
        <f t="shared" si="321"/>
        <v>43</v>
      </c>
      <c r="H383" s="20"/>
      <c r="I383" s="20"/>
      <c r="J383" s="14">
        <v>1</v>
      </c>
      <c r="K383" s="24"/>
      <c r="L383" s="24"/>
      <c r="M383" s="24"/>
      <c r="N383" s="20" t="s">
        <v>125</v>
      </c>
      <c r="O383" s="42" t="s">
        <v>134</v>
      </c>
      <c r="P383" s="20"/>
      <c r="Q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5">
      <c r="A384" s="14">
        <f t="shared" si="264"/>
        <v>354</v>
      </c>
      <c r="B384" s="14">
        <v>6</v>
      </c>
      <c r="C384" s="22" t="s">
        <v>507</v>
      </c>
      <c r="D384" s="20"/>
      <c r="E384" s="20">
        <v>1984</v>
      </c>
      <c r="F384" s="23" t="str">
        <f t="shared" ref="F384:G384" si="322">IF(ISBLANK(D384),"",2025-D384)</f>
        <v/>
      </c>
      <c r="G384" s="20">
        <f t="shared" si="322"/>
        <v>41</v>
      </c>
      <c r="H384" s="20"/>
      <c r="I384" s="20"/>
      <c r="J384" s="14">
        <v>1</v>
      </c>
      <c r="K384" s="24"/>
      <c r="L384" s="24"/>
      <c r="M384" s="24"/>
      <c r="N384" s="20" t="s">
        <v>508</v>
      </c>
      <c r="O384" s="21" t="s">
        <v>509</v>
      </c>
      <c r="P384" s="20"/>
      <c r="Q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5">
      <c r="A385" s="14" t="str">
        <f t="shared" si="264"/>
        <v/>
      </c>
      <c r="B385" s="14"/>
      <c r="C385" s="27" t="s">
        <v>510</v>
      </c>
      <c r="D385" s="18"/>
      <c r="E385" s="18"/>
      <c r="F385" s="23" t="str">
        <f t="shared" ref="F385:G385" si="323">IF(ISBLANK(D385),"",2025-D385)</f>
        <v/>
      </c>
      <c r="G385" s="20" t="str">
        <f t="shared" si="323"/>
        <v/>
      </c>
      <c r="H385" s="27"/>
      <c r="I385" s="27"/>
      <c r="J385" s="27"/>
      <c r="K385" s="27"/>
      <c r="L385" s="27"/>
      <c r="M385" s="54"/>
      <c r="N385" s="54"/>
      <c r="O385" s="68"/>
      <c r="P385" s="20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5">
      <c r="A386" s="14">
        <f t="shared" si="264"/>
        <v>355</v>
      </c>
      <c r="B386" s="14">
        <v>1</v>
      </c>
      <c r="C386" s="22" t="s">
        <v>511</v>
      </c>
      <c r="D386" s="20"/>
      <c r="E386" s="20">
        <v>1969</v>
      </c>
      <c r="F386" s="23" t="str">
        <f t="shared" ref="F386:G386" si="324">IF(ISBLANK(D386),"",2025-D386)</f>
        <v/>
      </c>
      <c r="G386" s="20">
        <f t="shared" si="324"/>
        <v>56</v>
      </c>
      <c r="H386" s="20" t="s">
        <v>512</v>
      </c>
      <c r="I386" s="20"/>
      <c r="J386" s="14">
        <v>1</v>
      </c>
      <c r="K386" s="24"/>
      <c r="L386" s="24"/>
      <c r="M386" s="24"/>
      <c r="N386" s="20" t="s">
        <v>163</v>
      </c>
      <c r="O386" s="26" t="s">
        <v>79</v>
      </c>
      <c r="P386" s="20"/>
      <c r="Q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5">
      <c r="A387" s="14">
        <f t="shared" si="264"/>
        <v>356</v>
      </c>
      <c r="B387" s="14">
        <v>2</v>
      </c>
      <c r="C387" s="22" t="s">
        <v>513</v>
      </c>
      <c r="D387" s="20"/>
      <c r="E387" s="20">
        <v>1971</v>
      </c>
      <c r="F387" s="23" t="str">
        <f t="shared" ref="F387:G387" si="325">IF(ISBLANK(D387),"",2025-D387)</f>
        <v/>
      </c>
      <c r="G387" s="20">
        <f t="shared" si="325"/>
        <v>54</v>
      </c>
      <c r="H387" s="20"/>
      <c r="I387" s="20"/>
      <c r="J387" s="14">
        <v>1</v>
      </c>
      <c r="K387" s="24"/>
      <c r="L387" s="24"/>
      <c r="M387" s="24"/>
      <c r="N387" s="20" t="s">
        <v>66</v>
      </c>
      <c r="O387" s="38" t="s">
        <v>366</v>
      </c>
      <c r="P387" s="20"/>
      <c r="Q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5">
      <c r="A388" s="14">
        <f t="shared" si="264"/>
        <v>357</v>
      </c>
      <c r="B388" s="14">
        <v>3</v>
      </c>
      <c r="C388" s="22" t="s">
        <v>514</v>
      </c>
      <c r="D388" s="20"/>
      <c r="E388" s="20">
        <v>1974</v>
      </c>
      <c r="F388" s="23" t="str">
        <f t="shared" ref="F388:G388" si="326">IF(ISBLANK(D388),"",2025-D388)</f>
        <v/>
      </c>
      <c r="G388" s="20">
        <f t="shared" si="326"/>
        <v>51</v>
      </c>
      <c r="H388" s="20"/>
      <c r="I388" s="20"/>
      <c r="J388" s="14">
        <v>1</v>
      </c>
      <c r="K388" s="24"/>
      <c r="L388" s="24"/>
      <c r="M388" s="24"/>
      <c r="N388" s="20" t="s">
        <v>484</v>
      </c>
      <c r="O388" s="21" t="s">
        <v>453</v>
      </c>
      <c r="P388" s="20"/>
      <c r="Q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25.5">
      <c r="A389" s="14">
        <f t="shared" si="264"/>
        <v>358</v>
      </c>
      <c r="B389" s="14">
        <v>4</v>
      </c>
      <c r="C389" s="22" t="s">
        <v>515</v>
      </c>
      <c r="D389" s="20">
        <v>1985</v>
      </c>
      <c r="E389" s="20"/>
      <c r="F389" s="23">
        <f t="shared" ref="F389:G389" si="327">IF(ISBLANK(D389),"",2025-D389)</f>
        <v>40</v>
      </c>
      <c r="G389" s="20" t="str">
        <f t="shared" si="327"/>
        <v/>
      </c>
      <c r="H389" s="20" t="s">
        <v>502</v>
      </c>
      <c r="I389" s="20"/>
      <c r="J389" s="14">
        <v>1</v>
      </c>
      <c r="K389" s="24"/>
      <c r="L389" s="24"/>
      <c r="M389" s="24"/>
      <c r="N389" s="20" t="s">
        <v>484</v>
      </c>
      <c r="O389" s="21" t="s">
        <v>453</v>
      </c>
      <c r="P389" s="20"/>
      <c r="Q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5">
      <c r="A390" s="14">
        <f t="shared" si="264"/>
        <v>359</v>
      </c>
      <c r="B390" s="14">
        <v>5</v>
      </c>
      <c r="C390" s="22" t="s">
        <v>516</v>
      </c>
      <c r="D390" s="20"/>
      <c r="E390" s="20">
        <v>1993</v>
      </c>
      <c r="F390" s="23" t="str">
        <f t="shared" ref="F390:G390" si="328">IF(ISBLANK(D390),"",2025-D390)</f>
        <v/>
      </c>
      <c r="G390" s="20">
        <f t="shared" si="328"/>
        <v>32</v>
      </c>
      <c r="H390" s="20"/>
      <c r="I390" s="20"/>
      <c r="J390" s="14">
        <v>1</v>
      </c>
      <c r="K390" s="24"/>
      <c r="L390" s="24"/>
      <c r="M390" s="24"/>
      <c r="N390" s="20" t="s">
        <v>452</v>
      </c>
      <c r="O390" s="21" t="s">
        <v>453</v>
      </c>
      <c r="P390" s="20"/>
      <c r="Q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5">
      <c r="A391" s="14">
        <f t="shared" si="264"/>
        <v>360</v>
      </c>
      <c r="B391" s="14">
        <v>6</v>
      </c>
      <c r="C391" s="22" t="s">
        <v>517</v>
      </c>
      <c r="D391" s="20"/>
      <c r="E391" s="20">
        <v>1999</v>
      </c>
      <c r="F391" s="23" t="str">
        <f t="shared" ref="F391:G391" si="329">IF(ISBLANK(D391),"",2025-D391)</f>
        <v/>
      </c>
      <c r="G391" s="20">
        <f t="shared" si="329"/>
        <v>26</v>
      </c>
      <c r="H391" s="20"/>
      <c r="I391" s="20"/>
      <c r="J391" s="14">
        <v>1</v>
      </c>
      <c r="K391" s="24"/>
      <c r="L391" s="24"/>
      <c r="M391" s="24"/>
      <c r="N391" s="43" t="s">
        <v>518</v>
      </c>
      <c r="O391" s="42" t="s">
        <v>123</v>
      </c>
      <c r="P391" s="20"/>
      <c r="Q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5">
      <c r="A392" s="14">
        <f t="shared" si="264"/>
        <v>361</v>
      </c>
      <c r="B392" s="14">
        <v>7</v>
      </c>
      <c r="C392" s="22" t="s">
        <v>519</v>
      </c>
      <c r="D392" s="20"/>
      <c r="E392" s="20">
        <v>1992</v>
      </c>
      <c r="F392" s="23" t="str">
        <f t="shared" ref="F392:G392" si="330">IF(ISBLANK(D392),"",2025-D392)</f>
        <v/>
      </c>
      <c r="G392" s="20">
        <f t="shared" si="330"/>
        <v>33</v>
      </c>
      <c r="H392" s="20"/>
      <c r="I392" s="20"/>
      <c r="J392" s="14">
        <v>1</v>
      </c>
      <c r="K392" s="24"/>
      <c r="L392" s="24"/>
      <c r="M392" s="24"/>
      <c r="N392" s="20" t="s">
        <v>58</v>
      </c>
      <c r="O392" s="34" t="s">
        <v>59</v>
      </c>
      <c r="P392" s="20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5">
      <c r="A393" s="14">
        <f t="shared" si="264"/>
        <v>362</v>
      </c>
      <c r="B393" s="14">
        <v>8</v>
      </c>
      <c r="C393" s="22" t="s">
        <v>460</v>
      </c>
      <c r="D393" s="20"/>
      <c r="E393" s="20">
        <v>1998</v>
      </c>
      <c r="F393" s="23" t="str">
        <f t="shared" ref="F393:G393" si="331">IF(ISBLANK(D393),"",2025-D393)</f>
        <v/>
      </c>
      <c r="G393" s="20">
        <f t="shared" si="331"/>
        <v>27</v>
      </c>
      <c r="H393" s="20"/>
      <c r="I393" s="20"/>
      <c r="J393" s="14">
        <v>1</v>
      </c>
      <c r="K393" s="24"/>
      <c r="L393" s="24"/>
      <c r="M393" s="24"/>
      <c r="N393" s="36" t="s">
        <v>58</v>
      </c>
      <c r="O393" s="34" t="s">
        <v>64</v>
      </c>
      <c r="P393" s="20"/>
      <c r="Q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5">
      <c r="A394" s="14">
        <f t="shared" si="264"/>
        <v>363</v>
      </c>
      <c r="B394" s="14">
        <v>9</v>
      </c>
      <c r="C394" s="22" t="s">
        <v>520</v>
      </c>
      <c r="D394" s="20"/>
      <c r="E394" s="20">
        <v>1979</v>
      </c>
      <c r="F394" s="23" t="str">
        <f t="shared" ref="F394:G394" si="332">IF(ISBLANK(D394),"",2025-D394)</f>
        <v/>
      </c>
      <c r="G394" s="20">
        <f t="shared" si="332"/>
        <v>46</v>
      </c>
      <c r="H394" s="20"/>
      <c r="I394" s="20"/>
      <c r="J394" s="14">
        <v>1</v>
      </c>
      <c r="K394" s="24"/>
      <c r="L394" s="24"/>
      <c r="M394" s="24"/>
      <c r="N394" s="20" t="s">
        <v>463</v>
      </c>
      <c r="O394" s="21" t="s">
        <v>464</v>
      </c>
      <c r="P394" s="20"/>
      <c r="Q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5">
      <c r="A395" s="14">
        <f t="shared" si="264"/>
        <v>364</v>
      </c>
      <c r="B395" s="14">
        <v>10</v>
      </c>
      <c r="C395" s="22" t="s">
        <v>521</v>
      </c>
      <c r="D395" s="20"/>
      <c r="E395" s="20">
        <v>1982</v>
      </c>
      <c r="F395" s="23" t="str">
        <f t="shared" ref="F395:G395" si="333">IF(ISBLANK(D395),"",2025-D395)</f>
        <v/>
      </c>
      <c r="G395" s="20">
        <f t="shared" si="333"/>
        <v>43</v>
      </c>
      <c r="H395" s="20"/>
      <c r="I395" s="20"/>
      <c r="J395" s="14">
        <v>1</v>
      </c>
      <c r="K395" s="24"/>
      <c r="L395" s="24"/>
      <c r="M395" s="24"/>
      <c r="N395" s="37" t="s">
        <v>66</v>
      </c>
      <c r="O395" s="38" t="s">
        <v>67</v>
      </c>
      <c r="P395" s="20"/>
      <c r="Q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30">
      <c r="A396" s="14" t="str">
        <f t="shared" si="264"/>
        <v/>
      </c>
      <c r="B396" s="14"/>
      <c r="C396" s="16" t="s">
        <v>522</v>
      </c>
      <c r="D396" s="20"/>
      <c r="E396" s="20"/>
      <c r="F396" s="23" t="str">
        <f t="shared" ref="F396:G396" si="334">IF(ISBLANK(D396),"",2025-D396)</f>
        <v/>
      </c>
      <c r="G396" s="20" t="str">
        <f t="shared" si="334"/>
        <v/>
      </c>
      <c r="H396" s="20"/>
      <c r="I396" s="20"/>
      <c r="J396" s="14"/>
      <c r="K396" s="24"/>
      <c r="L396" s="24"/>
      <c r="M396" s="24"/>
      <c r="N396" s="20"/>
      <c r="O396" s="21"/>
      <c r="P396" s="20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25.5">
      <c r="A397" s="14">
        <f t="shared" si="264"/>
        <v>365</v>
      </c>
      <c r="B397" s="14">
        <v>1</v>
      </c>
      <c r="C397" s="71" t="s">
        <v>523</v>
      </c>
      <c r="D397" s="20">
        <v>1966</v>
      </c>
      <c r="E397" s="20"/>
      <c r="F397" s="23">
        <f t="shared" ref="F397:G397" si="335">IF(ISBLANK(D397),"",2025-D397)</f>
        <v>59</v>
      </c>
      <c r="G397" s="20" t="str">
        <f t="shared" si="335"/>
        <v/>
      </c>
      <c r="H397" s="20" t="s">
        <v>502</v>
      </c>
      <c r="I397" s="20"/>
      <c r="J397" s="14">
        <v>1</v>
      </c>
      <c r="K397" s="24"/>
      <c r="L397" s="24"/>
      <c r="M397" s="24"/>
      <c r="N397" s="20" t="s">
        <v>163</v>
      </c>
      <c r="O397" s="72" t="s">
        <v>79</v>
      </c>
      <c r="P397" s="20"/>
      <c r="Q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5">
      <c r="A398" s="14">
        <f t="shared" si="264"/>
        <v>366</v>
      </c>
      <c r="B398" s="14">
        <v>2</v>
      </c>
      <c r="C398" s="73" t="s">
        <v>524</v>
      </c>
      <c r="D398" s="20">
        <v>1969</v>
      </c>
      <c r="E398" s="20"/>
      <c r="F398" s="23">
        <f t="shared" ref="F398:G398" si="336">IF(ISBLANK(D398),"",2025-D398)</f>
        <v>56</v>
      </c>
      <c r="G398" s="20" t="str">
        <f t="shared" si="336"/>
        <v/>
      </c>
      <c r="H398" s="20"/>
      <c r="I398" s="20"/>
      <c r="J398" s="14">
        <v>1</v>
      </c>
      <c r="K398" s="24"/>
      <c r="L398" s="24"/>
      <c r="M398" s="24"/>
      <c r="N398" s="20"/>
      <c r="O398" s="74" t="s">
        <v>525</v>
      </c>
      <c r="P398" s="20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5">
      <c r="A399" s="14">
        <f t="shared" si="264"/>
        <v>367</v>
      </c>
      <c r="B399" s="14">
        <v>3</v>
      </c>
      <c r="C399" s="73" t="s">
        <v>526</v>
      </c>
      <c r="D399" s="20"/>
      <c r="E399" s="20">
        <v>1988</v>
      </c>
      <c r="F399" s="23" t="str">
        <f t="shared" ref="F399:G399" si="337">IF(ISBLANK(D399),"",2025-D399)</f>
        <v/>
      </c>
      <c r="G399" s="20">
        <f t="shared" si="337"/>
        <v>37</v>
      </c>
      <c r="H399" s="20"/>
      <c r="I399" s="20"/>
      <c r="J399" s="14">
        <v>1</v>
      </c>
      <c r="K399" s="24"/>
      <c r="L399" s="24"/>
      <c r="M399" s="24"/>
      <c r="N399" s="20"/>
      <c r="O399" s="74" t="s">
        <v>527</v>
      </c>
      <c r="P399" s="20"/>
      <c r="Q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5">
      <c r="A400" s="14">
        <f t="shared" si="264"/>
        <v>368</v>
      </c>
      <c r="B400" s="14">
        <v>4</v>
      </c>
      <c r="C400" s="73" t="s">
        <v>528</v>
      </c>
      <c r="D400" s="20"/>
      <c r="E400" s="20">
        <v>1984</v>
      </c>
      <c r="F400" s="23" t="str">
        <f t="shared" ref="F400:G400" si="338">IF(ISBLANK(D400),"",2025-D400)</f>
        <v/>
      </c>
      <c r="G400" s="20">
        <f t="shared" si="338"/>
        <v>41</v>
      </c>
      <c r="H400" s="20"/>
      <c r="I400" s="20"/>
      <c r="J400" s="14">
        <v>1</v>
      </c>
      <c r="K400" s="24"/>
      <c r="L400" s="24"/>
      <c r="M400" s="24"/>
      <c r="N400" s="20"/>
      <c r="O400" s="74" t="s">
        <v>527</v>
      </c>
      <c r="P400" s="20"/>
      <c r="Q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5">
      <c r="A401" s="14">
        <f t="shared" si="264"/>
        <v>369</v>
      </c>
      <c r="B401" s="14">
        <v>5</v>
      </c>
      <c r="C401" s="73" t="s">
        <v>529</v>
      </c>
      <c r="D401" s="20"/>
      <c r="E401" s="20">
        <v>1983</v>
      </c>
      <c r="F401" s="23" t="str">
        <f t="shared" ref="F401:G401" si="339">IF(ISBLANK(D401),"",2025-D401)</f>
        <v/>
      </c>
      <c r="G401" s="20">
        <f t="shared" si="339"/>
        <v>42</v>
      </c>
      <c r="H401" s="20"/>
      <c r="I401" s="20"/>
      <c r="J401" s="14">
        <v>1</v>
      </c>
      <c r="K401" s="24"/>
      <c r="L401" s="24"/>
      <c r="M401" s="24"/>
      <c r="N401" s="20"/>
      <c r="O401" s="74" t="s">
        <v>527</v>
      </c>
      <c r="P401" s="20"/>
      <c r="Q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5">
      <c r="A402" s="14">
        <f t="shared" si="264"/>
        <v>370</v>
      </c>
      <c r="B402" s="14">
        <v>6</v>
      </c>
      <c r="C402" s="73" t="s">
        <v>530</v>
      </c>
      <c r="D402" s="20"/>
      <c r="E402" s="20">
        <v>1987</v>
      </c>
      <c r="F402" s="23" t="str">
        <f t="shared" ref="F402:G402" si="340">IF(ISBLANK(D402),"",2025-D402)</f>
        <v/>
      </c>
      <c r="G402" s="20">
        <f t="shared" si="340"/>
        <v>38</v>
      </c>
      <c r="H402" s="20"/>
      <c r="I402" s="20"/>
      <c r="J402" s="14">
        <v>1</v>
      </c>
      <c r="K402" s="24"/>
      <c r="L402" s="24"/>
      <c r="M402" s="24"/>
      <c r="N402" s="20"/>
      <c r="O402" s="74" t="s">
        <v>527</v>
      </c>
      <c r="P402" s="20"/>
      <c r="Q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5">
      <c r="A403" s="14">
        <f t="shared" si="264"/>
        <v>371</v>
      </c>
      <c r="B403" s="14">
        <v>7</v>
      </c>
      <c r="C403" s="73" t="s">
        <v>531</v>
      </c>
      <c r="D403" s="20"/>
      <c r="E403" s="20">
        <v>1983</v>
      </c>
      <c r="F403" s="23" t="str">
        <f t="shared" ref="F403:G403" si="341">IF(ISBLANK(D403),"",2025-D403)</f>
        <v/>
      </c>
      <c r="G403" s="20">
        <f t="shared" si="341"/>
        <v>42</v>
      </c>
      <c r="H403" s="20"/>
      <c r="I403" s="20"/>
      <c r="J403" s="14">
        <v>1</v>
      </c>
      <c r="K403" s="24"/>
      <c r="L403" s="24"/>
      <c r="M403" s="24"/>
      <c r="N403" s="20"/>
      <c r="O403" s="74" t="s">
        <v>464</v>
      </c>
      <c r="P403" s="20"/>
      <c r="Q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5">
      <c r="A404" s="14">
        <f t="shared" si="264"/>
        <v>372</v>
      </c>
      <c r="B404" s="14">
        <v>8</v>
      </c>
      <c r="C404" s="73" t="s">
        <v>532</v>
      </c>
      <c r="D404" s="20"/>
      <c r="E404" s="20">
        <v>1985</v>
      </c>
      <c r="F404" s="23" t="str">
        <f t="shared" ref="F404:G404" si="342">IF(ISBLANK(D404),"",2025-D404)</f>
        <v/>
      </c>
      <c r="G404" s="20">
        <f t="shared" si="342"/>
        <v>40</v>
      </c>
      <c r="H404" s="20"/>
      <c r="I404" s="20"/>
      <c r="J404" s="14">
        <v>1</v>
      </c>
      <c r="K404" s="24"/>
      <c r="L404" s="24"/>
      <c r="M404" s="24"/>
      <c r="N404" s="20"/>
      <c r="O404" s="74" t="s">
        <v>527</v>
      </c>
      <c r="P404" s="20"/>
      <c r="Q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25.5">
      <c r="A405" s="14">
        <f t="shared" si="264"/>
        <v>373</v>
      </c>
      <c r="B405" s="14">
        <v>9</v>
      </c>
      <c r="C405" s="75" t="s">
        <v>533</v>
      </c>
      <c r="D405" s="20"/>
      <c r="E405" s="20">
        <v>1995</v>
      </c>
      <c r="F405" s="23" t="str">
        <f t="shared" ref="F405:G405" si="343">IF(ISBLANK(D405),"",2025-D405)</f>
        <v/>
      </c>
      <c r="G405" s="20">
        <f t="shared" si="343"/>
        <v>30</v>
      </c>
      <c r="H405" s="20"/>
      <c r="I405" s="20"/>
      <c r="J405" s="14">
        <v>1</v>
      </c>
      <c r="K405" s="24"/>
      <c r="L405" s="24"/>
      <c r="M405" s="24"/>
      <c r="N405" s="20" t="s">
        <v>133</v>
      </c>
      <c r="O405" s="74" t="s">
        <v>534</v>
      </c>
      <c r="P405" s="20"/>
      <c r="Q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5">
      <c r="A406" s="14">
        <f t="shared" si="264"/>
        <v>374</v>
      </c>
      <c r="B406" s="14">
        <v>10</v>
      </c>
      <c r="C406" s="76" t="s">
        <v>535</v>
      </c>
      <c r="D406" s="20"/>
      <c r="E406" s="20">
        <v>2001</v>
      </c>
      <c r="F406" s="23" t="str">
        <f t="shared" ref="F406:G406" si="344">IF(ISBLANK(D406),"",2025-D406)</f>
        <v/>
      </c>
      <c r="G406" s="20">
        <f t="shared" si="344"/>
        <v>24</v>
      </c>
      <c r="H406" s="20"/>
      <c r="I406" s="20"/>
      <c r="J406" s="14">
        <v>1</v>
      </c>
      <c r="K406" s="24"/>
      <c r="L406" s="24"/>
      <c r="M406" s="24"/>
      <c r="N406" s="20"/>
      <c r="O406" s="77" t="s">
        <v>453</v>
      </c>
      <c r="P406" s="20"/>
      <c r="Q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5">
      <c r="A407" s="14" t="str">
        <f t="shared" si="264"/>
        <v/>
      </c>
      <c r="B407" s="14"/>
      <c r="C407" s="78" t="s">
        <v>536</v>
      </c>
      <c r="D407" s="20"/>
      <c r="E407" s="20"/>
      <c r="F407" s="23"/>
      <c r="G407" s="20"/>
      <c r="H407" s="20"/>
      <c r="I407" s="20"/>
      <c r="J407" s="14"/>
      <c r="K407" s="24"/>
      <c r="L407" s="24"/>
      <c r="M407" s="24"/>
      <c r="N407" s="20"/>
      <c r="O407" s="72"/>
      <c r="P407" s="20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25.5">
      <c r="A408" s="14">
        <f t="shared" si="264"/>
        <v>375</v>
      </c>
      <c r="B408" s="14">
        <v>1</v>
      </c>
      <c r="C408" s="79" t="s">
        <v>537</v>
      </c>
      <c r="D408" s="20"/>
      <c r="E408" s="20">
        <v>1969</v>
      </c>
      <c r="F408" s="23" t="str">
        <f t="shared" ref="F408:G408" si="345">IF(ISBLANK(D408),"",2025-D408)</f>
        <v/>
      </c>
      <c r="G408" s="20">
        <f t="shared" si="345"/>
        <v>56</v>
      </c>
      <c r="H408" s="20" t="s">
        <v>502</v>
      </c>
      <c r="I408" s="20"/>
      <c r="J408" s="14">
        <v>1</v>
      </c>
      <c r="K408" s="24"/>
      <c r="L408" s="24"/>
      <c r="M408" s="24"/>
      <c r="N408" s="20" t="s">
        <v>484</v>
      </c>
      <c r="O408" s="80" t="s">
        <v>453</v>
      </c>
      <c r="P408" s="20"/>
      <c r="Q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5">
      <c r="A409" s="14">
        <f t="shared" si="264"/>
        <v>376</v>
      </c>
      <c r="B409" s="14">
        <v>2</v>
      </c>
      <c r="C409" s="73" t="s">
        <v>538</v>
      </c>
      <c r="D409" s="20"/>
      <c r="E409" s="20">
        <v>1969</v>
      </c>
      <c r="F409" s="23" t="str">
        <f t="shared" ref="F409:G409" si="346">IF(ISBLANK(D409),"",2025-D409)</f>
        <v/>
      </c>
      <c r="G409" s="20">
        <f t="shared" si="346"/>
        <v>56</v>
      </c>
      <c r="H409" s="20"/>
      <c r="I409" s="20"/>
      <c r="J409" s="14">
        <v>1</v>
      </c>
      <c r="K409" s="24"/>
      <c r="L409" s="24"/>
      <c r="M409" s="24"/>
      <c r="N409" s="20"/>
      <c r="O409" s="74" t="s">
        <v>59</v>
      </c>
      <c r="P409" s="20"/>
      <c r="Q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5">
      <c r="A410" s="14">
        <f t="shared" si="264"/>
        <v>377</v>
      </c>
      <c r="B410" s="14">
        <v>3</v>
      </c>
      <c r="C410" s="75" t="s">
        <v>539</v>
      </c>
      <c r="D410" s="20">
        <v>1997</v>
      </c>
      <c r="E410" s="20"/>
      <c r="F410" s="23">
        <f t="shared" ref="F410:G410" si="347">IF(ISBLANK(D410),"",2025-D410)</f>
        <v>28</v>
      </c>
      <c r="G410" s="20" t="str">
        <f t="shared" si="347"/>
        <v/>
      </c>
      <c r="H410" s="20"/>
      <c r="I410" s="20"/>
      <c r="J410" s="14">
        <v>1</v>
      </c>
      <c r="K410" s="24"/>
      <c r="L410" s="24"/>
      <c r="M410" s="24"/>
      <c r="N410" s="20"/>
      <c r="O410" s="74" t="s">
        <v>453</v>
      </c>
      <c r="P410" s="20"/>
      <c r="Q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5">
      <c r="A411" s="14" t="str">
        <f t="shared" si="264"/>
        <v/>
      </c>
      <c r="B411" s="14"/>
      <c r="C411" s="27" t="s">
        <v>540</v>
      </c>
      <c r="D411" s="18"/>
      <c r="E411" s="18"/>
      <c r="F411" s="23" t="str">
        <f t="shared" ref="F411:G411" si="348">IF(ISBLANK(D411),"",2025-D411)</f>
        <v/>
      </c>
      <c r="G411" s="20" t="str">
        <f t="shared" si="348"/>
        <v/>
      </c>
      <c r="H411" s="27"/>
      <c r="I411" s="27"/>
      <c r="J411" s="27"/>
      <c r="K411" s="27"/>
      <c r="L411" s="27"/>
      <c r="M411" s="54"/>
      <c r="N411" s="54"/>
      <c r="O411" s="68"/>
      <c r="P411" s="20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5">
      <c r="A412" s="14">
        <f t="shared" si="264"/>
        <v>378</v>
      </c>
      <c r="B412" s="14">
        <v>1</v>
      </c>
      <c r="C412" s="22" t="s">
        <v>541</v>
      </c>
      <c r="D412" s="20">
        <v>1965</v>
      </c>
      <c r="E412" s="20"/>
      <c r="F412" s="23">
        <f t="shared" ref="F412:G412" si="349">IF(ISBLANK(D412),"",2025-D412)</f>
        <v>60</v>
      </c>
      <c r="G412" s="20" t="str">
        <f t="shared" si="349"/>
        <v/>
      </c>
      <c r="H412" s="20" t="s">
        <v>512</v>
      </c>
      <c r="I412" s="20"/>
      <c r="J412" s="14">
        <v>1</v>
      </c>
      <c r="K412" s="24"/>
      <c r="L412" s="24"/>
      <c r="M412" s="24"/>
      <c r="N412" s="20" t="s">
        <v>484</v>
      </c>
      <c r="O412" s="21" t="s">
        <v>453</v>
      </c>
      <c r="P412" s="20"/>
      <c r="Q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5">
      <c r="A413" s="14">
        <f t="shared" si="264"/>
        <v>379</v>
      </c>
      <c r="B413" s="14">
        <v>2</v>
      </c>
      <c r="C413" s="22" t="s">
        <v>542</v>
      </c>
      <c r="D413" s="20"/>
      <c r="E413" s="20">
        <v>1994</v>
      </c>
      <c r="F413" s="23" t="str">
        <f t="shared" ref="F413:G413" si="350">IF(ISBLANK(D413),"",2025-D413)</f>
        <v/>
      </c>
      <c r="G413" s="20">
        <f t="shared" si="350"/>
        <v>31</v>
      </c>
      <c r="H413" s="20"/>
      <c r="I413" s="20"/>
      <c r="J413" s="14">
        <v>1</v>
      </c>
      <c r="K413" s="24"/>
      <c r="L413" s="24"/>
      <c r="M413" s="24"/>
      <c r="N413" s="20" t="s">
        <v>371</v>
      </c>
      <c r="O413" s="81" t="s">
        <v>366</v>
      </c>
      <c r="P413" s="20"/>
      <c r="Q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5">
      <c r="A414" s="14">
        <f t="shared" si="264"/>
        <v>380</v>
      </c>
      <c r="B414" s="14">
        <v>3</v>
      </c>
      <c r="C414" s="22" t="s">
        <v>543</v>
      </c>
      <c r="D414" s="20"/>
      <c r="E414" s="20">
        <v>1972</v>
      </c>
      <c r="F414" s="23" t="str">
        <f t="shared" ref="F414:G414" si="351">IF(ISBLANK(D414),"",2025-D414)</f>
        <v/>
      </c>
      <c r="G414" s="20">
        <f t="shared" si="351"/>
        <v>53</v>
      </c>
      <c r="H414" s="20"/>
      <c r="I414" s="20"/>
      <c r="J414" s="14">
        <v>1</v>
      </c>
      <c r="K414" s="24"/>
      <c r="L414" s="24"/>
      <c r="M414" s="24"/>
      <c r="N414" s="20" t="s">
        <v>66</v>
      </c>
      <c r="O414" s="81" t="s">
        <v>366</v>
      </c>
      <c r="P414" s="20"/>
      <c r="Q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5">
      <c r="A415" s="14">
        <f t="shared" si="264"/>
        <v>381</v>
      </c>
      <c r="B415" s="14">
        <v>4</v>
      </c>
      <c r="C415" s="22" t="s">
        <v>544</v>
      </c>
      <c r="D415" s="20">
        <v>1973</v>
      </c>
      <c r="E415" s="20"/>
      <c r="F415" s="23">
        <f t="shared" ref="F415:G415" si="352">IF(ISBLANK(D415),"",2025-D415)</f>
        <v>52</v>
      </c>
      <c r="G415" s="20" t="str">
        <f t="shared" si="352"/>
        <v/>
      </c>
      <c r="H415" s="20"/>
      <c r="I415" s="20"/>
      <c r="J415" s="14">
        <v>1</v>
      </c>
      <c r="K415" s="24"/>
      <c r="L415" s="24"/>
      <c r="M415" s="24"/>
      <c r="N415" s="20" t="s">
        <v>163</v>
      </c>
      <c r="O415" s="26" t="s">
        <v>79</v>
      </c>
      <c r="P415" s="20"/>
      <c r="Q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25.5">
      <c r="A416" s="14">
        <f t="shared" si="264"/>
        <v>382</v>
      </c>
      <c r="B416" s="14">
        <v>5</v>
      </c>
      <c r="C416" s="22" t="s">
        <v>326</v>
      </c>
      <c r="D416" s="20"/>
      <c r="E416" s="20">
        <v>1994</v>
      </c>
      <c r="F416" s="23" t="str">
        <f t="shared" ref="F416:G416" si="353">IF(ISBLANK(D416),"",2025-D416)</f>
        <v/>
      </c>
      <c r="G416" s="20">
        <f t="shared" si="353"/>
        <v>31</v>
      </c>
      <c r="H416" s="20" t="s">
        <v>35</v>
      </c>
      <c r="I416" s="20"/>
      <c r="J416" s="14">
        <v>1</v>
      </c>
      <c r="K416" s="24"/>
      <c r="L416" s="24"/>
      <c r="M416" s="24"/>
      <c r="N416" s="20" t="s">
        <v>86</v>
      </c>
      <c r="O416" s="40" t="s">
        <v>82</v>
      </c>
      <c r="P416" s="20"/>
      <c r="Q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25.5">
      <c r="A417" s="14">
        <f t="shared" si="264"/>
        <v>383</v>
      </c>
      <c r="B417" s="14">
        <v>6</v>
      </c>
      <c r="C417" s="22" t="s">
        <v>545</v>
      </c>
      <c r="D417" s="20"/>
      <c r="E417" s="20">
        <v>1978</v>
      </c>
      <c r="F417" s="23" t="str">
        <f t="shared" ref="F417:G417" si="354">IF(ISBLANK(D417),"",2025-D417)</f>
        <v/>
      </c>
      <c r="G417" s="20">
        <f t="shared" si="354"/>
        <v>47</v>
      </c>
      <c r="H417" s="20" t="s">
        <v>502</v>
      </c>
      <c r="I417" s="20"/>
      <c r="J417" s="14">
        <v>1</v>
      </c>
      <c r="K417" s="24"/>
      <c r="L417" s="24"/>
      <c r="M417" s="24"/>
      <c r="N417" s="20" t="s">
        <v>58</v>
      </c>
      <c r="O417" s="34" t="s">
        <v>64</v>
      </c>
      <c r="P417" s="20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25.5">
      <c r="A418" s="14">
        <f t="shared" si="264"/>
        <v>384</v>
      </c>
      <c r="B418" s="14">
        <v>7</v>
      </c>
      <c r="C418" s="22" t="s">
        <v>546</v>
      </c>
      <c r="D418" s="20"/>
      <c r="E418" s="20">
        <v>1995</v>
      </c>
      <c r="F418" s="23" t="str">
        <f t="shared" ref="F418:G418" si="355">IF(ISBLANK(D418),"",2025-D418)</f>
        <v/>
      </c>
      <c r="G418" s="20">
        <f t="shared" si="355"/>
        <v>30</v>
      </c>
      <c r="H418" s="20"/>
      <c r="I418" s="20"/>
      <c r="J418" s="14">
        <v>1</v>
      </c>
      <c r="K418" s="24"/>
      <c r="L418" s="24"/>
      <c r="M418" s="24"/>
      <c r="N418" s="20" t="s">
        <v>547</v>
      </c>
      <c r="O418" s="34" t="s">
        <v>59</v>
      </c>
      <c r="P418" s="20"/>
      <c r="Q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5">
      <c r="A419" s="14">
        <f t="shared" si="264"/>
        <v>385</v>
      </c>
      <c r="B419" s="14">
        <v>8</v>
      </c>
      <c r="C419" s="22" t="s">
        <v>548</v>
      </c>
      <c r="D419" s="20"/>
      <c r="E419" s="20">
        <v>1998</v>
      </c>
      <c r="F419" s="23" t="str">
        <f t="shared" ref="F419:G419" si="356">IF(ISBLANK(D419),"",2025-D419)</f>
        <v/>
      </c>
      <c r="G419" s="20">
        <f t="shared" si="356"/>
        <v>27</v>
      </c>
      <c r="H419" s="20"/>
      <c r="I419" s="20"/>
      <c r="J419" s="14">
        <v>1</v>
      </c>
      <c r="K419" s="24"/>
      <c r="L419" s="24"/>
      <c r="M419" s="24"/>
      <c r="N419" s="20" t="s">
        <v>125</v>
      </c>
      <c r="O419" s="42" t="s">
        <v>123</v>
      </c>
      <c r="P419" s="20"/>
      <c r="Q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5">
      <c r="A420" s="14">
        <f t="shared" si="264"/>
        <v>386</v>
      </c>
      <c r="B420" s="14">
        <v>9</v>
      </c>
      <c r="C420" s="22" t="s">
        <v>549</v>
      </c>
      <c r="D420" s="20"/>
      <c r="E420" s="20">
        <v>1983</v>
      </c>
      <c r="F420" s="23" t="str">
        <f t="shared" ref="F420:G420" si="357">IF(ISBLANK(D420),"",2025-D420)</f>
        <v/>
      </c>
      <c r="G420" s="20">
        <f t="shared" si="357"/>
        <v>42</v>
      </c>
      <c r="H420" s="20"/>
      <c r="I420" s="20"/>
      <c r="J420" s="14">
        <v>1</v>
      </c>
      <c r="K420" s="24"/>
      <c r="L420" s="24"/>
      <c r="M420" s="24"/>
      <c r="N420" s="20" t="s">
        <v>463</v>
      </c>
      <c r="O420" s="21" t="s">
        <v>464</v>
      </c>
      <c r="P420" s="20"/>
      <c r="Q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5">
      <c r="A421" s="14">
        <f t="shared" si="264"/>
        <v>387</v>
      </c>
      <c r="B421" s="14">
        <v>10</v>
      </c>
      <c r="C421" s="22" t="s">
        <v>550</v>
      </c>
      <c r="D421" s="20"/>
      <c r="E421" s="20">
        <v>1987</v>
      </c>
      <c r="F421" s="23" t="str">
        <f t="shared" ref="F421:G421" si="358">IF(ISBLANK(D421),"",2025-D421)</f>
        <v/>
      </c>
      <c r="G421" s="20">
        <f t="shared" si="358"/>
        <v>38</v>
      </c>
      <c r="H421" s="20"/>
      <c r="I421" s="20"/>
      <c r="J421" s="14">
        <v>1</v>
      </c>
      <c r="K421" s="24"/>
      <c r="L421" s="24"/>
      <c r="M421" s="24"/>
      <c r="N421" s="20" t="s">
        <v>452</v>
      </c>
      <c r="O421" s="21" t="s">
        <v>453</v>
      </c>
      <c r="P421" s="20"/>
      <c r="Q421" s="6"/>
      <c r="S421" s="6"/>
      <c r="T421" s="6"/>
      <c r="U421" s="6"/>
      <c r="V421" s="6" t="s">
        <v>35</v>
      </c>
      <c r="W421" s="6"/>
      <c r="X421" s="6"/>
      <c r="Y421" s="6"/>
      <c r="Z421" s="6"/>
      <c r="AA421" s="6"/>
    </row>
    <row r="422" spans="1:27" ht="15">
      <c r="A422" s="14">
        <f t="shared" si="264"/>
        <v>388</v>
      </c>
      <c r="B422" s="14">
        <v>11</v>
      </c>
      <c r="C422" s="22" t="s">
        <v>551</v>
      </c>
      <c r="D422" s="20"/>
      <c r="E422" s="20">
        <v>1993</v>
      </c>
      <c r="F422" s="23"/>
      <c r="G422" s="20">
        <f>IF(ISBLANK(E422),"",2025-E422)</f>
        <v>32</v>
      </c>
      <c r="H422" s="20"/>
      <c r="I422" s="20"/>
      <c r="J422" s="14">
        <v>1</v>
      </c>
      <c r="K422" s="24"/>
      <c r="L422" s="24"/>
      <c r="M422" s="24"/>
      <c r="N422" s="20" t="s">
        <v>484</v>
      </c>
      <c r="O422" s="21" t="s">
        <v>453</v>
      </c>
      <c r="P422" s="20"/>
      <c r="Q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5">
      <c r="A423" s="14" t="str">
        <f t="shared" si="264"/>
        <v/>
      </c>
      <c r="B423" s="14"/>
      <c r="C423" s="27" t="s">
        <v>552</v>
      </c>
      <c r="D423" s="18"/>
      <c r="E423" s="18"/>
      <c r="F423" s="23" t="str">
        <f t="shared" ref="F423:G423" si="359">IF(ISBLANK(D423),"",2025-D423)</f>
        <v/>
      </c>
      <c r="G423" s="20" t="str">
        <f t="shared" si="359"/>
        <v/>
      </c>
      <c r="H423" s="27"/>
      <c r="I423" s="27"/>
      <c r="J423" s="27"/>
      <c r="K423" s="27"/>
      <c r="L423" s="27"/>
      <c r="M423" s="54"/>
      <c r="N423" s="54"/>
      <c r="O423" s="68"/>
      <c r="P423" s="20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25.5">
      <c r="A424" s="14">
        <f t="shared" si="264"/>
        <v>389</v>
      </c>
      <c r="B424" s="14">
        <v>1</v>
      </c>
      <c r="C424" s="22" t="s">
        <v>553</v>
      </c>
      <c r="D424" s="20"/>
      <c r="E424" s="20">
        <v>1972</v>
      </c>
      <c r="F424" s="23" t="str">
        <f t="shared" ref="F424:G424" si="360">IF(ISBLANK(D424),"",2025-D424)</f>
        <v/>
      </c>
      <c r="G424" s="20">
        <f t="shared" si="360"/>
        <v>53</v>
      </c>
      <c r="H424" s="20" t="s">
        <v>502</v>
      </c>
      <c r="I424" s="20"/>
      <c r="J424" s="14">
        <v>1</v>
      </c>
      <c r="K424" s="24"/>
      <c r="L424" s="24"/>
      <c r="M424" s="24"/>
      <c r="N424" s="20" t="s">
        <v>66</v>
      </c>
      <c r="O424" s="81" t="s">
        <v>67</v>
      </c>
      <c r="P424" s="20"/>
      <c r="Q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25.5">
      <c r="A425" s="14">
        <f t="shared" si="264"/>
        <v>390</v>
      </c>
      <c r="B425" s="14">
        <v>2</v>
      </c>
      <c r="C425" s="22" t="s">
        <v>554</v>
      </c>
      <c r="D425" s="20"/>
      <c r="E425" s="20">
        <v>1979</v>
      </c>
      <c r="F425" s="23" t="str">
        <f t="shared" ref="F425:G425" si="361">IF(ISBLANK(D425),"",2025-D425)</f>
        <v/>
      </c>
      <c r="G425" s="20">
        <f t="shared" si="361"/>
        <v>46</v>
      </c>
      <c r="H425" s="20" t="s">
        <v>502</v>
      </c>
      <c r="I425" s="20"/>
      <c r="J425" s="14">
        <v>1</v>
      </c>
      <c r="K425" s="24"/>
      <c r="L425" s="24"/>
      <c r="M425" s="24"/>
      <c r="N425" s="20" t="s">
        <v>484</v>
      </c>
      <c r="O425" s="21" t="s">
        <v>453</v>
      </c>
      <c r="P425" s="20"/>
      <c r="Q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5">
      <c r="A426" s="14">
        <f t="shared" si="264"/>
        <v>391</v>
      </c>
      <c r="B426" s="14">
        <v>3</v>
      </c>
      <c r="C426" s="22" t="s">
        <v>555</v>
      </c>
      <c r="D426" s="20">
        <v>1995</v>
      </c>
      <c r="E426" s="20"/>
      <c r="F426" s="23">
        <f t="shared" ref="F426:G426" si="362">IF(ISBLANK(D426),"",2025-D426)</f>
        <v>30</v>
      </c>
      <c r="G426" s="20" t="str">
        <f t="shared" si="362"/>
        <v/>
      </c>
      <c r="H426" s="20"/>
      <c r="I426" s="20"/>
      <c r="J426" s="14">
        <v>1</v>
      </c>
      <c r="K426" s="24"/>
      <c r="L426" s="24"/>
      <c r="M426" s="24"/>
      <c r="N426" s="20" t="s">
        <v>452</v>
      </c>
      <c r="O426" s="21" t="s">
        <v>453</v>
      </c>
      <c r="P426" s="20"/>
      <c r="Q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25.5">
      <c r="A427" s="14">
        <f t="shared" si="264"/>
        <v>392</v>
      </c>
      <c r="B427" s="14">
        <v>4</v>
      </c>
      <c r="C427" s="22" t="s">
        <v>556</v>
      </c>
      <c r="D427" s="20"/>
      <c r="E427" s="20">
        <v>1991</v>
      </c>
      <c r="F427" s="23" t="str">
        <f t="shared" ref="F427:G427" si="363">IF(ISBLANK(D427),"",2025-D427)</f>
        <v/>
      </c>
      <c r="G427" s="20">
        <f t="shared" si="363"/>
        <v>34</v>
      </c>
      <c r="H427" s="20"/>
      <c r="I427" s="20"/>
      <c r="J427" s="14">
        <v>1</v>
      </c>
      <c r="K427" s="24"/>
      <c r="L427" s="24"/>
      <c r="M427" s="24"/>
      <c r="N427" s="20" t="s">
        <v>86</v>
      </c>
      <c r="O427" s="40" t="s">
        <v>82</v>
      </c>
      <c r="P427" s="20"/>
      <c r="Q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25.5">
      <c r="A428" s="14">
        <f t="shared" si="264"/>
        <v>393</v>
      </c>
      <c r="B428" s="14">
        <v>5</v>
      </c>
      <c r="C428" s="22" t="s">
        <v>557</v>
      </c>
      <c r="D428" s="20"/>
      <c r="E428" s="20">
        <v>1988</v>
      </c>
      <c r="F428" s="23" t="str">
        <f t="shared" ref="F428:G428" si="364">IF(ISBLANK(D428),"",2025-D428)</f>
        <v/>
      </c>
      <c r="G428" s="20">
        <f t="shared" si="364"/>
        <v>37</v>
      </c>
      <c r="H428" s="20"/>
      <c r="I428" s="20"/>
      <c r="J428" s="14">
        <v>1</v>
      </c>
      <c r="K428" s="24"/>
      <c r="L428" s="24"/>
      <c r="M428" s="24"/>
      <c r="N428" s="20" t="s">
        <v>558</v>
      </c>
      <c r="O428" s="34" t="s">
        <v>59</v>
      </c>
      <c r="P428" s="20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5">
      <c r="A429" s="14">
        <f t="shared" si="264"/>
        <v>394</v>
      </c>
      <c r="B429" s="14">
        <v>6</v>
      </c>
      <c r="C429" s="22" t="s">
        <v>381</v>
      </c>
      <c r="D429" s="20"/>
      <c r="E429" s="20">
        <v>1984</v>
      </c>
      <c r="F429" s="23" t="str">
        <f t="shared" ref="F429:G429" si="365">IF(ISBLANK(D429),"",2025-D429)</f>
        <v/>
      </c>
      <c r="G429" s="20">
        <f t="shared" si="365"/>
        <v>41</v>
      </c>
      <c r="H429" s="20"/>
      <c r="I429" s="20"/>
      <c r="J429" s="14">
        <v>1</v>
      </c>
      <c r="K429" s="24"/>
      <c r="L429" s="24"/>
      <c r="M429" s="24"/>
      <c r="N429" s="43" t="s">
        <v>125</v>
      </c>
      <c r="O429" s="42" t="s">
        <v>123</v>
      </c>
      <c r="P429" s="20"/>
      <c r="Q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5">
      <c r="A430" s="14">
        <f t="shared" si="264"/>
        <v>395</v>
      </c>
      <c r="B430" s="14">
        <v>7</v>
      </c>
      <c r="C430" s="22" t="s">
        <v>467</v>
      </c>
      <c r="D430" s="20"/>
      <c r="E430" s="20">
        <v>1993</v>
      </c>
      <c r="F430" s="23" t="str">
        <f t="shared" ref="F430:G430" si="366">IF(ISBLANK(D430),"",2025-D430)</f>
        <v/>
      </c>
      <c r="G430" s="20">
        <f t="shared" si="366"/>
        <v>32</v>
      </c>
      <c r="H430" s="20"/>
      <c r="I430" s="20"/>
      <c r="J430" s="14">
        <v>1</v>
      </c>
      <c r="K430" s="24"/>
      <c r="L430" s="24"/>
      <c r="M430" s="24"/>
      <c r="N430" s="20" t="s">
        <v>371</v>
      </c>
      <c r="O430" s="38" t="s">
        <v>366</v>
      </c>
      <c r="P430" s="20"/>
      <c r="Q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5">
      <c r="A431" s="14">
        <f t="shared" si="264"/>
        <v>396</v>
      </c>
      <c r="B431" s="14">
        <v>8</v>
      </c>
      <c r="C431" s="22" t="s">
        <v>559</v>
      </c>
      <c r="D431" s="20"/>
      <c r="E431" s="20">
        <v>1970</v>
      </c>
      <c r="F431" s="23" t="str">
        <f t="shared" ref="F431:G431" si="367">IF(ISBLANK(D431),"",2025-D431)</f>
        <v/>
      </c>
      <c r="G431" s="20">
        <f t="shared" si="367"/>
        <v>55</v>
      </c>
      <c r="H431" s="20"/>
      <c r="I431" s="20"/>
      <c r="J431" s="14">
        <v>1</v>
      </c>
      <c r="K431" s="24"/>
      <c r="L431" s="24"/>
      <c r="M431" s="24"/>
      <c r="N431" s="20" t="s">
        <v>66</v>
      </c>
      <c r="O431" s="38" t="s">
        <v>366</v>
      </c>
      <c r="P431" s="20"/>
      <c r="Q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5">
      <c r="A432" s="14">
        <f t="shared" si="264"/>
        <v>397</v>
      </c>
      <c r="B432" s="14">
        <v>9</v>
      </c>
      <c r="C432" s="22" t="s">
        <v>560</v>
      </c>
      <c r="D432" s="20"/>
      <c r="E432" s="20">
        <v>1986</v>
      </c>
      <c r="F432" s="23" t="str">
        <f t="shared" ref="F432:G432" si="368">IF(ISBLANK(D432),"",2025-D432)</f>
        <v/>
      </c>
      <c r="G432" s="20">
        <f t="shared" si="368"/>
        <v>39</v>
      </c>
      <c r="H432" s="20"/>
      <c r="I432" s="20"/>
      <c r="J432" s="14">
        <v>1</v>
      </c>
      <c r="K432" s="24"/>
      <c r="L432" s="24"/>
      <c r="M432" s="24"/>
      <c r="N432" s="20" t="s">
        <v>561</v>
      </c>
      <c r="O432" s="21" t="s">
        <v>509</v>
      </c>
      <c r="P432" s="20"/>
      <c r="Q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5">
      <c r="A433" s="14" t="str">
        <f t="shared" si="264"/>
        <v/>
      </c>
      <c r="B433" s="14"/>
      <c r="C433" s="16" t="s">
        <v>562</v>
      </c>
      <c r="D433" s="20"/>
      <c r="E433" s="20"/>
      <c r="F433" s="23" t="str">
        <f t="shared" ref="F433:G433" si="369">IF(ISBLANK(D433),"",2025-D433)</f>
        <v/>
      </c>
      <c r="G433" s="20" t="str">
        <f t="shared" si="369"/>
        <v/>
      </c>
      <c r="H433" s="20"/>
      <c r="I433" s="20"/>
      <c r="J433" s="14"/>
      <c r="K433" s="24"/>
      <c r="L433" s="24"/>
      <c r="M433" s="24"/>
      <c r="N433" s="20"/>
      <c r="O433" s="21"/>
      <c r="P433" s="20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25.5">
      <c r="A434" s="14">
        <f t="shared" si="264"/>
        <v>398</v>
      </c>
      <c r="B434" s="14">
        <v>1</v>
      </c>
      <c r="C434" s="82" t="s">
        <v>563</v>
      </c>
      <c r="D434" s="20"/>
      <c r="E434" s="20">
        <v>1987</v>
      </c>
      <c r="F434" s="23" t="str">
        <f t="shared" ref="F434:G434" si="370">IF(ISBLANK(D434),"",2025-D434)</f>
        <v/>
      </c>
      <c r="G434" s="20">
        <f t="shared" si="370"/>
        <v>38</v>
      </c>
      <c r="H434" s="20"/>
      <c r="I434" s="20"/>
      <c r="J434" s="14">
        <v>1</v>
      </c>
      <c r="K434" s="24"/>
      <c r="L434" s="24"/>
      <c r="M434" s="24"/>
      <c r="N434" s="20" t="s">
        <v>133</v>
      </c>
      <c r="O434" s="72" t="s">
        <v>534</v>
      </c>
      <c r="P434" s="20"/>
      <c r="Q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5">
      <c r="A435" s="14">
        <f t="shared" si="264"/>
        <v>399</v>
      </c>
      <c r="B435" s="14">
        <v>2</v>
      </c>
      <c r="C435" s="83" t="s">
        <v>564</v>
      </c>
      <c r="D435" s="20"/>
      <c r="E435" s="20">
        <v>1986</v>
      </c>
      <c r="F435" s="23" t="str">
        <f t="shared" ref="F435:G435" si="371">IF(ISBLANK(D435),"",2025-D435)</f>
        <v/>
      </c>
      <c r="G435" s="20">
        <f t="shared" si="371"/>
        <v>39</v>
      </c>
      <c r="H435" s="20"/>
      <c r="I435" s="20"/>
      <c r="J435" s="14">
        <v>1</v>
      </c>
      <c r="K435" s="24"/>
      <c r="L435" s="24"/>
      <c r="M435" s="24"/>
      <c r="N435" s="20"/>
      <c r="O435" s="80" t="s">
        <v>527</v>
      </c>
      <c r="P435" s="20"/>
      <c r="Q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5">
      <c r="A436" s="14">
        <f t="shared" si="264"/>
        <v>400</v>
      </c>
      <c r="B436" s="14">
        <v>3</v>
      </c>
      <c r="C436" s="83" t="s">
        <v>565</v>
      </c>
      <c r="D436" s="20"/>
      <c r="E436" s="20">
        <v>1980</v>
      </c>
      <c r="F436" s="23" t="str">
        <f t="shared" ref="F436:G436" si="372">IF(ISBLANK(D436),"",2025-D436)</f>
        <v/>
      </c>
      <c r="G436" s="20">
        <f t="shared" si="372"/>
        <v>45</v>
      </c>
      <c r="H436" s="20"/>
      <c r="I436" s="20"/>
      <c r="J436" s="14">
        <v>1</v>
      </c>
      <c r="K436" s="24"/>
      <c r="L436" s="24"/>
      <c r="M436" s="24"/>
      <c r="N436" s="20"/>
      <c r="O436" s="74" t="s">
        <v>527</v>
      </c>
      <c r="P436" s="20"/>
      <c r="Q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5">
      <c r="A437" s="14">
        <f t="shared" si="264"/>
        <v>401</v>
      </c>
      <c r="B437" s="14">
        <v>4</v>
      </c>
      <c r="C437" s="83" t="s">
        <v>566</v>
      </c>
      <c r="D437" s="20"/>
      <c r="E437" s="20">
        <v>1974</v>
      </c>
      <c r="F437" s="23" t="str">
        <f t="shared" ref="F437:G437" si="373">IF(ISBLANK(D437),"",2025-D437)</f>
        <v/>
      </c>
      <c r="G437" s="20">
        <f t="shared" si="373"/>
        <v>51</v>
      </c>
      <c r="H437" s="20"/>
      <c r="I437" s="20"/>
      <c r="J437" s="14">
        <v>1</v>
      </c>
      <c r="K437" s="24"/>
      <c r="L437" s="24"/>
      <c r="M437" s="24"/>
      <c r="N437" s="20"/>
      <c r="O437" s="74" t="s">
        <v>366</v>
      </c>
      <c r="P437" s="20"/>
      <c r="Q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25.5">
      <c r="A438" s="14">
        <f t="shared" si="264"/>
        <v>402</v>
      </c>
      <c r="B438" s="14">
        <v>5</v>
      </c>
      <c r="C438" s="83" t="s">
        <v>567</v>
      </c>
      <c r="D438" s="20"/>
      <c r="E438" s="20">
        <v>1984</v>
      </c>
      <c r="F438" s="23" t="str">
        <f t="shared" ref="F438:G438" si="374">IF(ISBLANK(D438),"",2025-D438)</f>
        <v/>
      </c>
      <c r="G438" s="20">
        <f t="shared" si="374"/>
        <v>41</v>
      </c>
      <c r="H438" s="20" t="s">
        <v>502</v>
      </c>
      <c r="I438" s="20"/>
      <c r="J438" s="14">
        <v>1</v>
      </c>
      <c r="K438" s="24"/>
      <c r="L438" s="24"/>
      <c r="M438" s="24"/>
      <c r="N438" s="20"/>
      <c r="O438" s="74" t="s">
        <v>59</v>
      </c>
      <c r="P438" s="20"/>
      <c r="Q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5">
      <c r="A439" s="14">
        <f t="shared" si="264"/>
        <v>403</v>
      </c>
      <c r="B439" s="14">
        <v>6</v>
      </c>
      <c r="C439" s="83" t="s">
        <v>568</v>
      </c>
      <c r="D439" s="20"/>
      <c r="E439" s="20">
        <v>1983</v>
      </c>
      <c r="F439" s="23" t="str">
        <f t="shared" ref="F439:G439" si="375">IF(ISBLANK(D439),"",2025-D439)</f>
        <v/>
      </c>
      <c r="G439" s="20">
        <f t="shared" si="375"/>
        <v>42</v>
      </c>
      <c r="H439" s="20"/>
      <c r="I439" s="20"/>
      <c r="J439" s="14">
        <v>1</v>
      </c>
      <c r="K439" s="24"/>
      <c r="L439" s="24"/>
      <c r="M439" s="24"/>
      <c r="N439" s="20"/>
      <c r="O439" s="74" t="s">
        <v>569</v>
      </c>
      <c r="P439" s="20"/>
      <c r="Q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5">
      <c r="A440" s="14">
        <f t="shared" si="264"/>
        <v>404</v>
      </c>
      <c r="B440" s="14">
        <v>7</v>
      </c>
      <c r="C440" s="83" t="s">
        <v>570</v>
      </c>
      <c r="D440" s="20"/>
      <c r="E440" s="20">
        <v>1989</v>
      </c>
      <c r="F440" s="23" t="str">
        <f t="shared" ref="F440:G440" si="376">IF(ISBLANK(D440),"",2025-D440)</f>
        <v/>
      </c>
      <c r="G440" s="20">
        <f t="shared" si="376"/>
        <v>36</v>
      </c>
      <c r="H440" s="20"/>
      <c r="I440" s="20"/>
      <c r="J440" s="14">
        <v>1</v>
      </c>
      <c r="K440" s="24"/>
      <c r="L440" s="24"/>
      <c r="M440" s="24"/>
      <c r="N440" s="20"/>
      <c r="O440" s="74" t="s">
        <v>527</v>
      </c>
      <c r="P440" s="20"/>
      <c r="Q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5">
      <c r="A441" s="14">
        <f t="shared" si="264"/>
        <v>405</v>
      </c>
      <c r="B441" s="14">
        <v>8</v>
      </c>
      <c r="C441" s="83" t="s">
        <v>571</v>
      </c>
      <c r="D441" s="20"/>
      <c r="E441" s="20">
        <v>1995</v>
      </c>
      <c r="F441" s="23" t="str">
        <f t="shared" ref="F441:G441" si="377">IF(ISBLANK(D441),"",2025-D441)</f>
        <v/>
      </c>
      <c r="G441" s="20">
        <f t="shared" si="377"/>
        <v>30</v>
      </c>
      <c r="H441" s="20"/>
      <c r="I441" s="20"/>
      <c r="J441" s="14">
        <v>1</v>
      </c>
      <c r="K441" s="24"/>
      <c r="L441" s="24"/>
      <c r="M441" s="24"/>
      <c r="N441" s="20"/>
      <c r="O441" s="74" t="s">
        <v>453</v>
      </c>
      <c r="P441" s="20"/>
      <c r="Q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5">
      <c r="A442" s="14">
        <f t="shared" si="264"/>
        <v>406</v>
      </c>
      <c r="B442" s="14">
        <v>9</v>
      </c>
      <c r="C442" s="83" t="s">
        <v>572</v>
      </c>
      <c r="D442" s="20"/>
      <c r="E442" s="20">
        <v>1968</v>
      </c>
      <c r="F442" s="23" t="str">
        <f t="shared" ref="F442:G442" si="378">IF(ISBLANK(D442),"",2025-D442)</f>
        <v/>
      </c>
      <c r="G442" s="20">
        <f t="shared" si="378"/>
        <v>57</v>
      </c>
      <c r="H442" s="20"/>
      <c r="I442" s="20"/>
      <c r="J442" s="14">
        <v>1</v>
      </c>
      <c r="K442" s="24"/>
      <c r="L442" s="24"/>
      <c r="M442" s="24"/>
      <c r="N442" s="20" t="s">
        <v>163</v>
      </c>
      <c r="O442" s="74" t="s">
        <v>79</v>
      </c>
      <c r="P442" s="20"/>
      <c r="Q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5">
      <c r="A443" s="14">
        <f t="shared" si="264"/>
        <v>407</v>
      </c>
      <c r="B443" s="14">
        <v>10</v>
      </c>
      <c r="C443" s="83" t="s">
        <v>573</v>
      </c>
      <c r="D443" s="20"/>
      <c r="E443" s="20">
        <v>2000</v>
      </c>
      <c r="F443" s="23" t="str">
        <f t="shared" ref="F443:G443" si="379">IF(ISBLANK(D443),"",2025-D443)</f>
        <v/>
      </c>
      <c r="G443" s="20">
        <f t="shared" si="379"/>
        <v>25</v>
      </c>
      <c r="H443" s="20"/>
      <c r="I443" s="20"/>
      <c r="J443" s="14">
        <v>1</v>
      </c>
      <c r="K443" s="24"/>
      <c r="L443" s="24"/>
      <c r="M443" s="24"/>
      <c r="N443" s="20" t="s">
        <v>86</v>
      </c>
      <c r="O443" s="74" t="s">
        <v>574</v>
      </c>
      <c r="P443" s="20"/>
      <c r="Q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5">
      <c r="A444" s="14">
        <f t="shared" si="264"/>
        <v>408</v>
      </c>
      <c r="B444" s="14">
        <v>11</v>
      </c>
      <c r="C444" s="84" t="s">
        <v>575</v>
      </c>
      <c r="D444" s="20"/>
      <c r="E444" s="20">
        <v>1990</v>
      </c>
      <c r="F444" s="23" t="str">
        <f t="shared" ref="F444:G444" si="380">IF(ISBLANK(D444),"",2025-D444)</f>
        <v/>
      </c>
      <c r="G444" s="20">
        <f t="shared" si="380"/>
        <v>35</v>
      </c>
      <c r="H444" s="20"/>
      <c r="I444" s="20"/>
      <c r="J444" s="14">
        <v>1</v>
      </c>
      <c r="K444" s="24"/>
      <c r="L444" s="24"/>
      <c r="M444" s="24"/>
      <c r="N444" s="20" t="s">
        <v>484</v>
      </c>
      <c r="O444" s="74" t="s">
        <v>453</v>
      </c>
      <c r="P444" s="20"/>
      <c r="Q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5">
      <c r="A445" s="14" t="str">
        <f t="shared" si="264"/>
        <v/>
      </c>
      <c r="B445" s="14"/>
      <c r="C445" s="27" t="s">
        <v>576</v>
      </c>
      <c r="D445" s="18"/>
      <c r="E445" s="18"/>
      <c r="F445" s="23" t="str">
        <f t="shared" ref="F445:G445" si="381">IF(ISBLANK(D445),"",2025-D445)</f>
        <v/>
      </c>
      <c r="G445" s="20" t="str">
        <f t="shared" si="381"/>
        <v/>
      </c>
      <c r="H445" s="27"/>
      <c r="I445" s="27"/>
      <c r="J445" s="14"/>
      <c r="K445" s="27"/>
      <c r="L445" s="27"/>
      <c r="M445" s="54"/>
      <c r="N445" s="54"/>
      <c r="O445" s="68"/>
      <c r="P445" s="20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5">
      <c r="A446" s="14">
        <v>4</v>
      </c>
      <c r="B446" s="14">
        <v>1</v>
      </c>
      <c r="C446" s="22" t="s">
        <v>577</v>
      </c>
      <c r="D446" s="20"/>
      <c r="E446" s="20">
        <v>1983</v>
      </c>
      <c r="F446" s="23" t="str">
        <f t="shared" ref="F446:G446" si="382">IF(ISBLANK(D446),"",2025-D446)</f>
        <v/>
      </c>
      <c r="G446" s="20">
        <f t="shared" si="382"/>
        <v>42</v>
      </c>
      <c r="H446" s="20" t="s">
        <v>512</v>
      </c>
      <c r="I446" s="20" t="s">
        <v>24</v>
      </c>
      <c r="J446" s="14">
        <v>1</v>
      </c>
      <c r="K446" s="24"/>
      <c r="L446" s="24"/>
      <c r="M446" s="24"/>
      <c r="N446" s="20" t="s">
        <v>484</v>
      </c>
      <c r="O446" s="21" t="s">
        <v>453</v>
      </c>
      <c r="P446" s="20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5">
      <c r="A447" s="14">
        <f t="shared" ref="A447:A466" si="383">IF(ISBLANK(B447),"",COUNTA($B$8:B447))</f>
        <v>410</v>
      </c>
      <c r="B447" s="14">
        <v>2</v>
      </c>
      <c r="C447" s="22" t="s">
        <v>578</v>
      </c>
      <c r="D447" s="20"/>
      <c r="E447" s="20">
        <v>1982</v>
      </c>
      <c r="F447" s="23" t="str">
        <f t="shared" ref="F447:G447" si="384">IF(ISBLANK(D447),"",2025-D447)</f>
        <v/>
      </c>
      <c r="G447" s="20">
        <f t="shared" si="384"/>
        <v>43</v>
      </c>
      <c r="H447" s="20"/>
      <c r="I447" s="20"/>
      <c r="J447" s="14">
        <v>1</v>
      </c>
      <c r="K447" s="24"/>
      <c r="L447" s="24"/>
      <c r="M447" s="24"/>
      <c r="N447" s="20" t="s">
        <v>484</v>
      </c>
      <c r="O447" s="21" t="s">
        <v>453</v>
      </c>
      <c r="P447" s="20"/>
      <c r="Q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25.5">
      <c r="A448" s="14">
        <f t="shared" si="383"/>
        <v>411</v>
      </c>
      <c r="B448" s="14">
        <v>3</v>
      </c>
      <c r="C448" s="22" t="s">
        <v>579</v>
      </c>
      <c r="D448" s="20"/>
      <c r="E448" s="20">
        <v>1983</v>
      </c>
      <c r="F448" s="23" t="str">
        <f t="shared" ref="F448:G448" si="385">IF(ISBLANK(D448),"",2025-D448)</f>
        <v/>
      </c>
      <c r="G448" s="20">
        <f t="shared" si="385"/>
        <v>42</v>
      </c>
      <c r="H448" s="20" t="s">
        <v>502</v>
      </c>
      <c r="I448" s="20"/>
      <c r="J448" s="14">
        <v>1</v>
      </c>
      <c r="K448" s="24"/>
      <c r="L448" s="24"/>
      <c r="M448" s="24"/>
      <c r="N448" s="20" t="s">
        <v>66</v>
      </c>
      <c r="O448" s="81" t="s">
        <v>67</v>
      </c>
      <c r="P448" s="20"/>
      <c r="Q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5">
      <c r="A449" s="14">
        <f t="shared" si="383"/>
        <v>412</v>
      </c>
      <c r="B449" s="14">
        <v>4</v>
      </c>
      <c r="C449" s="22" t="s">
        <v>580</v>
      </c>
      <c r="D449" s="20"/>
      <c r="E449" s="20">
        <v>1991</v>
      </c>
      <c r="F449" s="23" t="str">
        <f t="shared" ref="F449:G449" si="386">IF(ISBLANK(D449),"",2025-D449)</f>
        <v/>
      </c>
      <c r="G449" s="20">
        <f t="shared" si="386"/>
        <v>34</v>
      </c>
      <c r="H449" s="20"/>
      <c r="I449" s="20"/>
      <c r="J449" s="14">
        <v>1</v>
      </c>
      <c r="K449" s="14"/>
      <c r="L449" s="14"/>
      <c r="M449" s="14"/>
      <c r="N449" s="20" t="s">
        <v>66</v>
      </c>
      <c r="O449" s="81" t="s">
        <v>366</v>
      </c>
      <c r="P449" s="20"/>
      <c r="Q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25.5">
      <c r="A450" s="14">
        <f t="shared" si="383"/>
        <v>413</v>
      </c>
      <c r="B450" s="14">
        <v>5</v>
      </c>
      <c r="C450" s="22" t="s">
        <v>581</v>
      </c>
      <c r="D450" s="20"/>
      <c r="E450" s="20">
        <v>1984</v>
      </c>
      <c r="F450" s="23" t="str">
        <f t="shared" ref="F450:G450" si="387">IF(ISBLANK(D450),"",2025-D450)</f>
        <v/>
      </c>
      <c r="G450" s="20">
        <f t="shared" si="387"/>
        <v>41</v>
      </c>
      <c r="H450" s="20"/>
      <c r="I450" s="20"/>
      <c r="J450" s="14">
        <v>1</v>
      </c>
      <c r="K450" s="24"/>
      <c r="L450" s="24"/>
      <c r="M450" s="24"/>
      <c r="N450" s="20" t="s">
        <v>133</v>
      </c>
      <c r="O450" s="42" t="s">
        <v>134</v>
      </c>
      <c r="P450" s="20"/>
      <c r="Q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25.5">
      <c r="A451" s="14">
        <f t="shared" si="383"/>
        <v>414</v>
      </c>
      <c r="B451" s="14">
        <v>6</v>
      </c>
      <c r="C451" s="22" t="s">
        <v>582</v>
      </c>
      <c r="D451" s="20"/>
      <c r="E451" s="20">
        <v>1980</v>
      </c>
      <c r="F451" s="23" t="str">
        <f t="shared" ref="F451:G451" si="388">IF(ISBLANK(D451),"",2025-D451)</f>
        <v/>
      </c>
      <c r="G451" s="20">
        <f t="shared" si="388"/>
        <v>45</v>
      </c>
      <c r="H451" s="20"/>
      <c r="I451" s="20"/>
      <c r="J451" s="14">
        <v>1</v>
      </c>
      <c r="K451" s="24"/>
      <c r="L451" s="24"/>
      <c r="M451" s="24"/>
      <c r="N451" s="20" t="s">
        <v>558</v>
      </c>
      <c r="O451" s="34" t="s">
        <v>59</v>
      </c>
      <c r="P451" s="20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25.5">
      <c r="A452" s="14">
        <f t="shared" si="383"/>
        <v>415</v>
      </c>
      <c r="B452" s="14">
        <v>7</v>
      </c>
      <c r="C452" s="22" t="s">
        <v>583</v>
      </c>
      <c r="D452" s="20"/>
      <c r="E452" s="20">
        <v>1995</v>
      </c>
      <c r="F452" s="23" t="str">
        <f t="shared" ref="F452:G452" si="389">IF(ISBLANK(D452),"",2025-D452)</f>
        <v/>
      </c>
      <c r="G452" s="20">
        <f t="shared" si="389"/>
        <v>30</v>
      </c>
      <c r="H452" s="20"/>
      <c r="I452" s="20"/>
      <c r="J452" s="14">
        <v>1</v>
      </c>
      <c r="K452" s="24"/>
      <c r="L452" s="24"/>
      <c r="M452" s="24"/>
      <c r="N452" s="20" t="s">
        <v>86</v>
      </c>
      <c r="O452" s="40" t="s">
        <v>82</v>
      </c>
      <c r="P452" s="20"/>
      <c r="Q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5">
      <c r="A453" s="14">
        <f t="shared" si="383"/>
        <v>416</v>
      </c>
      <c r="B453" s="14">
        <v>8</v>
      </c>
      <c r="C453" s="22" t="s">
        <v>584</v>
      </c>
      <c r="D453" s="20"/>
      <c r="E453" s="20">
        <v>1983</v>
      </c>
      <c r="F453" s="23" t="str">
        <f t="shared" ref="F453:G453" si="390">IF(ISBLANK(D453),"",2025-D453)</f>
        <v/>
      </c>
      <c r="G453" s="20">
        <f t="shared" si="390"/>
        <v>42</v>
      </c>
      <c r="H453" s="20"/>
      <c r="I453" s="20"/>
      <c r="J453" s="14">
        <v>1</v>
      </c>
      <c r="K453" s="24"/>
      <c r="L453" s="24"/>
      <c r="M453" s="24"/>
      <c r="N453" s="20" t="s">
        <v>463</v>
      </c>
      <c r="O453" s="21" t="s">
        <v>464</v>
      </c>
      <c r="P453" s="20"/>
      <c r="Q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5">
      <c r="A454" s="14">
        <f t="shared" si="383"/>
        <v>417</v>
      </c>
      <c r="B454" s="14">
        <v>9</v>
      </c>
      <c r="C454" s="22" t="s">
        <v>585</v>
      </c>
      <c r="D454" s="20">
        <v>1990</v>
      </c>
      <c r="E454" s="20"/>
      <c r="F454" s="23">
        <f t="shared" ref="F454:G454" si="391">IF(ISBLANK(D454),"",2025-D454)</f>
        <v>35</v>
      </c>
      <c r="G454" s="20" t="str">
        <f t="shared" si="391"/>
        <v/>
      </c>
      <c r="H454" s="20"/>
      <c r="I454" s="20"/>
      <c r="J454" s="14">
        <v>1</v>
      </c>
      <c r="K454" s="14"/>
      <c r="L454" s="14"/>
      <c r="M454" s="14"/>
      <c r="N454" s="20" t="s">
        <v>484</v>
      </c>
      <c r="O454" s="21" t="s">
        <v>453</v>
      </c>
      <c r="P454" s="20"/>
      <c r="Q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5">
      <c r="A455" s="14" t="str">
        <f t="shared" si="383"/>
        <v/>
      </c>
      <c r="B455" s="14"/>
      <c r="C455" s="85" t="s">
        <v>586</v>
      </c>
      <c r="D455" s="20"/>
      <c r="E455" s="20"/>
      <c r="F455" s="23"/>
      <c r="G455" s="20"/>
      <c r="H455" s="20"/>
      <c r="I455" s="20"/>
      <c r="J455" s="14"/>
      <c r="K455" s="14"/>
      <c r="L455" s="14"/>
      <c r="M455" s="14"/>
      <c r="N455" s="20"/>
      <c r="O455" s="72"/>
      <c r="P455" s="20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25.5">
      <c r="A456" s="14">
        <f t="shared" si="383"/>
        <v>418</v>
      </c>
      <c r="B456" s="14">
        <v>1</v>
      </c>
      <c r="C456" s="86" t="s">
        <v>587</v>
      </c>
      <c r="D456" s="20"/>
      <c r="E456" s="20">
        <v>1990</v>
      </c>
      <c r="F456" s="23"/>
      <c r="G456" s="20">
        <f>IF(ISBLANK(E456),"",2025-E456)</f>
        <v>35</v>
      </c>
      <c r="H456" s="20" t="s">
        <v>502</v>
      </c>
      <c r="I456" s="20"/>
      <c r="J456" s="14">
        <v>1</v>
      </c>
      <c r="K456" s="14"/>
      <c r="L456" s="14"/>
      <c r="M456" s="14"/>
      <c r="N456" s="20" t="s">
        <v>58</v>
      </c>
      <c r="O456" s="72" t="s">
        <v>67</v>
      </c>
      <c r="P456" s="20"/>
      <c r="Q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5">
      <c r="A457" s="14">
        <f t="shared" si="383"/>
        <v>419</v>
      </c>
      <c r="B457" s="14">
        <v>2</v>
      </c>
      <c r="C457" s="73" t="s">
        <v>588</v>
      </c>
      <c r="D457" s="20"/>
      <c r="E457" s="20">
        <v>1966</v>
      </c>
      <c r="F457" s="23" t="str">
        <f t="shared" ref="F457:G457" si="392">IF(ISBLANK(D457),"",2025-D457)</f>
        <v/>
      </c>
      <c r="G457" s="20">
        <f t="shared" si="392"/>
        <v>59</v>
      </c>
      <c r="H457" s="20"/>
      <c r="I457" s="20"/>
      <c r="J457" s="14">
        <v>1</v>
      </c>
      <c r="K457" s="24"/>
      <c r="L457" s="24"/>
      <c r="M457" s="24"/>
      <c r="N457" s="20" t="s">
        <v>163</v>
      </c>
      <c r="O457" s="74" t="s">
        <v>79</v>
      </c>
      <c r="P457" s="20"/>
      <c r="Q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5">
      <c r="A458" s="14">
        <f t="shared" si="383"/>
        <v>420</v>
      </c>
      <c r="B458" s="14">
        <v>3</v>
      </c>
      <c r="C458" s="84" t="s">
        <v>589</v>
      </c>
      <c r="D458" s="20"/>
      <c r="E458" s="20">
        <v>1992</v>
      </c>
      <c r="F458" s="23"/>
      <c r="G458" s="20">
        <f t="shared" ref="G458:G465" si="393">IF(ISBLANK(E458),"",2025-E458)</f>
        <v>33</v>
      </c>
      <c r="H458" s="20"/>
      <c r="I458" s="20"/>
      <c r="J458" s="14">
        <v>1</v>
      </c>
      <c r="K458" s="14"/>
      <c r="L458" s="14"/>
      <c r="M458" s="14"/>
      <c r="N458" s="20" t="s">
        <v>484</v>
      </c>
      <c r="O458" s="80" t="s">
        <v>453</v>
      </c>
      <c r="P458" s="20"/>
      <c r="Q458" s="6"/>
      <c r="S458" s="87"/>
      <c r="T458" s="6"/>
      <c r="U458" s="6"/>
      <c r="V458" s="6"/>
      <c r="W458" s="6"/>
      <c r="X458" s="6"/>
      <c r="Y458" s="6"/>
      <c r="Z458" s="6"/>
      <c r="AA458" s="6"/>
    </row>
    <row r="459" spans="1:27" ht="25.5">
      <c r="A459" s="14">
        <f t="shared" si="383"/>
        <v>421</v>
      </c>
      <c r="B459" s="14">
        <v>4</v>
      </c>
      <c r="C459" s="84" t="s">
        <v>528</v>
      </c>
      <c r="D459" s="20"/>
      <c r="E459" s="20">
        <v>1988</v>
      </c>
      <c r="F459" s="23"/>
      <c r="G459" s="20">
        <f t="shared" si="393"/>
        <v>37</v>
      </c>
      <c r="H459" s="20"/>
      <c r="I459" s="20"/>
      <c r="J459" s="14">
        <v>1</v>
      </c>
      <c r="K459" s="14"/>
      <c r="L459" s="14"/>
      <c r="M459" s="14"/>
      <c r="N459" s="20" t="s">
        <v>590</v>
      </c>
      <c r="O459" s="74" t="s">
        <v>527</v>
      </c>
      <c r="P459" s="20"/>
      <c r="Q459" s="6"/>
      <c r="S459" s="87"/>
      <c r="T459" s="6"/>
      <c r="U459" s="6"/>
      <c r="V459" s="6"/>
      <c r="W459" s="6"/>
      <c r="X459" s="6"/>
      <c r="Y459" s="6"/>
      <c r="Z459" s="6"/>
      <c r="AA459" s="6"/>
    </row>
    <row r="460" spans="1:27" ht="15">
      <c r="A460" s="14">
        <f t="shared" si="383"/>
        <v>422</v>
      </c>
      <c r="B460" s="14">
        <v>5</v>
      </c>
      <c r="C460" s="84" t="s">
        <v>591</v>
      </c>
      <c r="D460" s="20"/>
      <c r="E460" s="20">
        <v>1984</v>
      </c>
      <c r="F460" s="23"/>
      <c r="G460" s="20">
        <f t="shared" si="393"/>
        <v>41</v>
      </c>
      <c r="H460" s="20"/>
      <c r="I460" s="20"/>
      <c r="J460" s="14">
        <v>1</v>
      </c>
      <c r="K460" s="14"/>
      <c r="L460" s="14"/>
      <c r="M460" s="14"/>
      <c r="N460" s="20" t="s">
        <v>484</v>
      </c>
      <c r="O460" s="74" t="s">
        <v>453</v>
      </c>
      <c r="P460" s="20"/>
      <c r="Q460" s="6"/>
      <c r="S460" s="87"/>
      <c r="T460" s="6"/>
      <c r="U460" s="6"/>
      <c r="V460" s="6"/>
      <c r="W460" s="6"/>
      <c r="X460" s="6"/>
      <c r="Y460" s="6"/>
      <c r="Z460" s="6"/>
      <c r="AA460" s="6"/>
    </row>
    <row r="461" spans="1:27" ht="25.5">
      <c r="A461" s="14">
        <f t="shared" si="383"/>
        <v>423</v>
      </c>
      <c r="B461" s="14">
        <v>6</v>
      </c>
      <c r="C461" s="84" t="s">
        <v>592</v>
      </c>
      <c r="D461" s="20"/>
      <c r="E461" s="20">
        <v>1993</v>
      </c>
      <c r="F461" s="23"/>
      <c r="G461" s="20">
        <f t="shared" si="393"/>
        <v>32</v>
      </c>
      <c r="H461" s="20"/>
      <c r="I461" s="20"/>
      <c r="J461" s="14">
        <v>1</v>
      </c>
      <c r="K461" s="14"/>
      <c r="L461" s="14"/>
      <c r="M461" s="14"/>
      <c r="N461" s="20" t="s">
        <v>72</v>
      </c>
      <c r="O461" s="74" t="s">
        <v>59</v>
      </c>
      <c r="P461" s="20"/>
      <c r="Q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25.5">
      <c r="A462" s="14">
        <f t="shared" si="383"/>
        <v>424</v>
      </c>
      <c r="B462" s="14">
        <v>7</v>
      </c>
      <c r="C462" s="84" t="s">
        <v>593</v>
      </c>
      <c r="D462" s="20"/>
      <c r="E462" s="20">
        <v>1990</v>
      </c>
      <c r="F462" s="23"/>
      <c r="G462" s="20">
        <f t="shared" si="393"/>
        <v>35</v>
      </c>
      <c r="H462" s="20"/>
      <c r="I462" s="20"/>
      <c r="J462" s="14">
        <v>1</v>
      </c>
      <c r="K462" s="14"/>
      <c r="L462" s="14"/>
      <c r="M462" s="14"/>
      <c r="N462" s="20" t="s">
        <v>72</v>
      </c>
      <c r="O462" s="74" t="s">
        <v>59</v>
      </c>
      <c r="P462" s="20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25.5">
      <c r="A463" s="14">
        <f t="shared" si="383"/>
        <v>425</v>
      </c>
      <c r="B463" s="14">
        <v>8</v>
      </c>
      <c r="C463" s="84" t="s">
        <v>594</v>
      </c>
      <c r="D463" s="20"/>
      <c r="E463" s="20">
        <v>1997</v>
      </c>
      <c r="F463" s="23"/>
      <c r="G463" s="20">
        <f t="shared" si="393"/>
        <v>28</v>
      </c>
      <c r="H463" s="20"/>
      <c r="I463" s="20"/>
      <c r="J463" s="14">
        <v>1</v>
      </c>
      <c r="K463" s="14"/>
      <c r="L463" s="14"/>
      <c r="M463" s="14"/>
      <c r="N463" s="20" t="s">
        <v>133</v>
      </c>
      <c r="O463" s="74" t="s">
        <v>534</v>
      </c>
      <c r="P463" s="20"/>
      <c r="Q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5">
      <c r="A464" s="14">
        <f t="shared" si="383"/>
        <v>426</v>
      </c>
      <c r="B464" s="14">
        <v>9</v>
      </c>
      <c r="C464" s="84" t="s">
        <v>595</v>
      </c>
      <c r="D464" s="20"/>
      <c r="E464" s="20">
        <v>1995</v>
      </c>
      <c r="F464" s="23"/>
      <c r="G464" s="20">
        <f t="shared" si="393"/>
        <v>30</v>
      </c>
      <c r="H464" s="20"/>
      <c r="I464" s="20"/>
      <c r="J464" s="14">
        <v>1</v>
      </c>
      <c r="K464" s="14"/>
      <c r="L464" s="14"/>
      <c r="M464" s="14"/>
      <c r="N464" s="20" t="s">
        <v>86</v>
      </c>
      <c r="O464" s="74" t="s">
        <v>574</v>
      </c>
      <c r="P464" s="20"/>
      <c r="Q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5">
      <c r="A465" s="14">
        <f t="shared" si="383"/>
        <v>427</v>
      </c>
      <c r="B465" s="14">
        <v>10</v>
      </c>
      <c r="C465" s="84" t="s">
        <v>596</v>
      </c>
      <c r="D465" s="20"/>
      <c r="E465" s="20">
        <v>1984</v>
      </c>
      <c r="F465" s="23"/>
      <c r="G465" s="20">
        <f t="shared" si="393"/>
        <v>41</v>
      </c>
      <c r="H465" s="20"/>
      <c r="I465" s="20"/>
      <c r="J465" s="14">
        <v>1</v>
      </c>
      <c r="K465" s="14"/>
      <c r="L465" s="14"/>
      <c r="M465" s="14"/>
      <c r="N465" s="20" t="s">
        <v>42</v>
      </c>
      <c r="O465" s="74" t="s">
        <v>464</v>
      </c>
      <c r="P465" s="20"/>
      <c r="Q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5">
      <c r="A466" s="14">
        <f t="shared" si="383"/>
        <v>428</v>
      </c>
      <c r="B466" s="14">
        <v>11</v>
      </c>
      <c r="C466" s="22" t="s">
        <v>597</v>
      </c>
      <c r="D466" s="20"/>
      <c r="E466" s="20">
        <v>1990</v>
      </c>
      <c r="F466" s="23" t="str">
        <f t="shared" ref="F466:G466" si="394">IF(ISBLANK(D466),"",2025-D466)</f>
        <v/>
      </c>
      <c r="G466" s="20">
        <f t="shared" si="394"/>
        <v>35</v>
      </c>
      <c r="H466" s="20"/>
      <c r="I466" s="20"/>
      <c r="J466" s="14">
        <v>1</v>
      </c>
      <c r="K466" s="24"/>
      <c r="L466" s="24"/>
      <c r="M466" s="24"/>
      <c r="N466" s="36" t="s">
        <v>58</v>
      </c>
      <c r="O466" s="34" t="s">
        <v>64</v>
      </c>
      <c r="P466" s="20"/>
      <c r="Q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>
      <c r="A467" s="88"/>
      <c r="B467" s="64" t="s">
        <v>598</v>
      </c>
      <c r="C467" s="11">
        <f>SUM(J467,K467,L467,M467)</f>
        <v>428</v>
      </c>
      <c r="D467" s="11">
        <f>COUNTA(D6:D465)</f>
        <v>98</v>
      </c>
      <c r="E467" s="11">
        <f>COUNTA(E6:E466)</f>
        <v>330</v>
      </c>
      <c r="F467" s="11"/>
      <c r="G467" s="11"/>
      <c r="H467" s="11">
        <f t="shared" ref="H467:I467" si="395">COUNTA(H6:H466)</f>
        <v>57</v>
      </c>
      <c r="I467" s="11">
        <f t="shared" si="395"/>
        <v>13</v>
      </c>
      <c r="J467" s="11">
        <f t="shared" ref="J467:M467" si="396">SUM(J8:J466)</f>
        <v>405</v>
      </c>
      <c r="K467" s="11">
        <f t="shared" si="396"/>
        <v>16</v>
      </c>
      <c r="L467" s="11">
        <f t="shared" si="396"/>
        <v>0</v>
      </c>
      <c r="M467" s="11">
        <f t="shared" si="396"/>
        <v>7</v>
      </c>
      <c r="N467" s="11"/>
      <c r="O467" s="9"/>
      <c r="P467" s="11"/>
      <c r="Q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8.75">
      <c r="A468" s="89"/>
      <c r="B468" s="1"/>
      <c r="C468" s="90"/>
      <c r="D468" s="91"/>
      <c r="E468" s="91"/>
      <c r="F468" s="91"/>
      <c r="G468" s="5" t="str">
        <f t="shared" ref="G468:G482" si="397">IF(ISBLANK(E468),"",2023-E468)</f>
        <v/>
      </c>
      <c r="H468" s="91"/>
      <c r="I468" s="91"/>
      <c r="J468" s="91"/>
      <c r="K468" s="90"/>
      <c r="L468" s="91"/>
      <c r="M468" s="92"/>
      <c r="N468" s="92"/>
      <c r="O468" s="93"/>
      <c r="P468" s="92"/>
      <c r="Q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8">
      <c r="A469" s="90"/>
      <c r="B469" s="1"/>
      <c r="C469" s="90"/>
      <c r="D469" s="91"/>
      <c r="E469" s="91"/>
      <c r="F469" s="91"/>
      <c r="G469" s="5" t="str">
        <f t="shared" si="397"/>
        <v/>
      </c>
      <c r="H469" s="91"/>
      <c r="I469" s="91"/>
      <c r="J469" s="91"/>
      <c r="K469" s="90"/>
      <c r="L469" s="91"/>
      <c r="M469" s="90"/>
      <c r="N469" s="103" t="s">
        <v>599</v>
      </c>
      <c r="O469" s="104"/>
      <c r="P469" s="104"/>
      <c r="Q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8">
      <c r="A470" s="90"/>
      <c r="B470" s="1"/>
      <c r="C470" s="90"/>
      <c r="D470" s="91"/>
      <c r="E470" s="91"/>
      <c r="F470" s="91"/>
      <c r="G470" s="5" t="str">
        <f t="shared" si="397"/>
        <v/>
      </c>
      <c r="H470" s="91"/>
      <c r="I470" s="91"/>
      <c r="J470" s="91"/>
      <c r="K470" s="90"/>
      <c r="L470" s="91"/>
      <c r="M470" s="90"/>
      <c r="N470" s="91"/>
      <c r="O470" s="94"/>
      <c r="P470" s="91"/>
      <c r="Q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24" customHeight="1">
      <c r="A471" s="90"/>
      <c r="B471" s="1"/>
      <c r="C471" s="90"/>
      <c r="D471" s="91"/>
      <c r="E471" s="91"/>
      <c r="F471" s="91"/>
      <c r="G471" s="5" t="str">
        <f t="shared" si="397"/>
        <v/>
      </c>
      <c r="H471" s="91"/>
      <c r="I471" s="91"/>
      <c r="J471" s="91"/>
      <c r="K471" s="90"/>
      <c r="L471" s="91"/>
      <c r="M471" s="90"/>
      <c r="N471" s="91"/>
      <c r="O471" s="94"/>
      <c r="P471" s="91"/>
      <c r="Q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27.75" customHeight="1">
      <c r="A472" s="90"/>
      <c r="B472" s="1"/>
      <c r="C472" s="90"/>
      <c r="D472" s="91"/>
      <c r="E472" s="91"/>
      <c r="F472" s="91"/>
      <c r="G472" s="5" t="str">
        <f t="shared" si="397"/>
        <v/>
      </c>
      <c r="H472" s="91"/>
      <c r="I472" s="91"/>
      <c r="J472" s="91"/>
      <c r="K472" s="90"/>
      <c r="L472" s="91"/>
      <c r="M472" s="90"/>
      <c r="N472" s="91"/>
      <c r="O472" s="94"/>
      <c r="P472" s="91"/>
      <c r="Q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8">
      <c r="A473" s="90"/>
      <c r="B473" s="1"/>
      <c r="C473" s="90"/>
      <c r="D473" s="91"/>
      <c r="E473" s="91"/>
      <c r="F473" s="91"/>
      <c r="G473" s="5" t="str">
        <f t="shared" si="397"/>
        <v/>
      </c>
      <c r="H473" s="91"/>
      <c r="I473" s="91"/>
      <c r="J473" s="91"/>
      <c r="K473" s="90"/>
      <c r="L473" s="91"/>
      <c r="M473" s="90"/>
      <c r="N473" s="103" t="s">
        <v>33</v>
      </c>
      <c r="O473" s="104"/>
      <c r="P473" s="104"/>
      <c r="Q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2.75">
      <c r="A474" s="6"/>
      <c r="B474" s="6"/>
      <c r="C474" s="6"/>
      <c r="D474" s="6"/>
      <c r="E474" s="6"/>
      <c r="F474" s="6"/>
      <c r="G474" s="5" t="str">
        <f t="shared" si="397"/>
        <v/>
      </c>
      <c r="H474" s="6"/>
      <c r="I474" s="6"/>
      <c r="J474" s="6"/>
      <c r="K474" s="6"/>
      <c r="L474" s="6"/>
      <c r="M474" s="6"/>
      <c r="N474" s="6"/>
      <c r="O474" s="95"/>
      <c r="P474" s="6"/>
      <c r="Q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2.75">
      <c r="A475" s="6"/>
      <c r="B475" s="6"/>
      <c r="C475" s="6"/>
      <c r="D475" s="6"/>
      <c r="E475" s="6"/>
      <c r="F475" s="6"/>
      <c r="G475" s="5" t="str">
        <f t="shared" si="397"/>
        <v/>
      </c>
      <c r="H475" s="6"/>
      <c r="I475" s="6"/>
      <c r="J475" s="6"/>
      <c r="K475" s="6"/>
      <c r="L475" s="6"/>
      <c r="M475" s="6"/>
      <c r="N475" s="6"/>
      <c r="O475" s="95"/>
      <c r="P475" s="6"/>
      <c r="Q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2.75">
      <c r="A476" s="6"/>
      <c r="B476" s="6"/>
      <c r="C476" s="6"/>
      <c r="D476" s="6"/>
      <c r="E476" s="6"/>
      <c r="F476" s="6"/>
      <c r="G476" s="5" t="str">
        <f t="shared" si="397"/>
        <v/>
      </c>
      <c r="H476" s="6"/>
      <c r="I476" s="6"/>
      <c r="J476" s="6"/>
      <c r="K476" s="6"/>
      <c r="L476" s="6"/>
      <c r="M476" s="6"/>
      <c r="N476" s="6"/>
      <c r="O476" s="95"/>
      <c r="P476" s="6"/>
      <c r="Q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2.75">
      <c r="A477" s="6"/>
      <c r="B477" s="6"/>
      <c r="C477" s="6"/>
      <c r="D477" s="6"/>
      <c r="E477" s="6"/>
      <c r="F477" s="6"/>
      <c r="G477" s="5" t="str">
        <f t="shared" si="397"/>
        <v/>
      </c>
      <c r="H477" s="6"/>
      <c r="I477" s="6"/>
      <c r="J477" s="6"/>
      <c r="K477" s="6"/>
      <c r="L477" s="6"/>
      <c r="M477" s="6"/>
      <c r="N477" s="6"/>
      <c r="O477" s="95"/>
      <c r="P477" s="6"/>
      <c r="Q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2.75">
      <c r="A478" s="6"/>
      <c r="B478" s="6"/>
      <c r="C478" s="6"/>
      <c r="D478" s="6"/>
      <c r="E478" s="6"/>
      <c r="F478" s="6"/>
      <c r="G478" s="5" t="str">
        <f t="shared" si="397"/>
        <v/>
      </c>
      <c r="H478" s="6"/>
      <c r="I478" s="6"/>
      <c r="J478" s="6"/>
      <c r="K478" s="6"/>
      <c r="L478" s="6"/>
      <c r="M478" s="6"/>
      <c r="N478" s="6"/>
      <c r="O478" s="95"/>
      <c r="P478" s="6"/>
      <c r="Q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2.75">
      <c r="A479" s="6"/>
      <c r="B479" s="6"/>
      <c r="C479" s="6"/>
      <c r="D479" s="6"/>
      <c r="E479" s="6"/>
      <c r="F479" s="6"/>
      <c r="G479" s="5" t="str">
        <f t="shared" si="397"/>
        <v/>
      </c>
      <c r="H479" s="6"/>
      <c r="I479" s="6"/>
      <c r="J479" s="6"/>
      <c r="K479" s="6"/>
      <c r="L479" s="6"/>
      <c r="M479" s="6"/>
      <c r="N479" s="6"/>
      <c r="O479" s="95"/>
      <c r="P479" s="6"/>
      <c r="Q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2.75">
      <c r="A480" s="6"/>
      <c r="B480" s="6"/>
      <c r="C480" s="6"/>
      <c r="D480" s="6"/>
      <c r="E480" s="6"/>
      <c r="F480" s="6"/>
      <c r="G480" s="5" t="str">
        <f t="shared" si="397"/>
        <v/>
      </c>
      <c r="H480" s="6"/>
      <c r="I480" s="6"/>
      <c r="J480" s="6"/>
      <c r="K480" s="6"/>
      <c r="L480" s="6"/>
      <c r="M480" s="6"/>
      <c r="N480" s="6"/>
      <c r="O480" s="95"/>
      <c r="P480" s="6"/>
      <c r="Q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2.75">
      <c r="A481" s="6"/>
      <c r="B481" s="6"/>
      <c r="C481" s="6"/>
      <c r="D481" s="6"/>
      <c r="E481" s="6"/>
      <c r="F481" s="6"/>
      <c r="G481" s="5" t="str">
        <f t="shared" si="397"/>
        <v/>
      </c>
      <c r="H481" s="6"/>
      <c r="I481" s="6"/>
      <c r="J481" s="6"/>
      <c r="K481" s="6"/>
      <c r="L481" s="6"/>
      <c r="M481" s="6"/>
      <c r="N481" s="6"/>
      <c r="O481" s="95"/>
      <c r="P481" s="6"/>
      <c r="Q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2.75">
      <c r="A482" s="6"/>
      <c r="B482" s="6"/>
      <c r="C482" s="6"/>
      <c r="D482" s="6"/>
      <c r="E482" s="6"/>
      <c r="F482" s="6"/>
      <c r="G482" s="5" t="str">
        <f t="shared" si="397"/>
        <v/>
      </c>
      <c r="H482" s="6"/>
      <c r="I482" s="6"/>
      <c r="J482" s="6"/>
      <c r="K482" s="6"/>
      <c r="L482" s="6"/>
      <c r="M482" s="6"/>
      <c r="N482" s="6"/>
      <c r="O482" s="95"/>
      <c r="P482" s="6"/>
      <c r="Q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2.7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95"/>
      <c r="P483" s="6"/>
      <c r="Q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2.7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95"/>
      <c r="P484" s="6"/>
      <c r="Q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2.7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95"/>
      <c r="P485" s="6"/>
      <c r="Q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2.7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95"/>
      <c r="P486" s="6"/>
      <c r="Q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2.7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95"/>
      <c r="P487" s="6"/>
      <c r="Q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2.7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95"/>
      <c r="P488" s="6"/>
      <c r="Q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2.7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95"/>
      <c r="P489" s="6"/>
      <c r="Q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2.7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95"/>
      <c r="P490" s="6"/>
      <c r="Q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2.7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95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2.7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95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2.7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95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2.7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95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2.7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95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2.7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95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2.7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95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2.7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95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2.7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95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2.7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95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2.7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95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2.7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95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2.7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95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2.7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95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2.7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95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2.7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95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2.7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95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2.7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95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2.7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95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2.7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95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2.7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95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2.7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95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2.7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95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2.7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95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2.7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95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2.7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95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2.7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95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2.7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95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2.7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95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2.7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95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2.7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95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2.7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95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2.7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95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2.7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95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2.7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95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2.7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95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2.7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95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2.7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95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2.7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95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2.7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95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2.7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95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2.7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95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2.7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95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2.7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95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2.7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95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2.7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95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2.7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95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2.7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95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2.7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95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2.7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95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2.7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95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2.7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95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2.7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95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2.7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95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2.7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95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2.7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95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2.7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95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2.7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95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2.7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95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2.7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95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2.7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95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2.7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95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2.7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95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2.7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95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2.7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95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2.7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95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2.7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95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2.7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95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2.7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95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2.7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95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2.7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95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2.7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95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2.7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95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2.7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95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2.7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95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2.7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95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2.7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95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2.7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95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2.7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95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2.7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95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2.7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95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2.7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95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2.7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95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2.7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95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2.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95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2.7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95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2.7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95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2.7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95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2.7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95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2.7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95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2.7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95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2.7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95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2.7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95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2.7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95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2.7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95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2.7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95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2.7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95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2.7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95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2.7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95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2.7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95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2.7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95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2.7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95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2.7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95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2.7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95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2.7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95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2.7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95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2.7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95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2.7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95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2.7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95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2.7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95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2.7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95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2.7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95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2.7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95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2.7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95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2.7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95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2.7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95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2.7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95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2.7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95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2.7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95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2.7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95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2.7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95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2.7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95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2.7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95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2.7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95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2.7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95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2.7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95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2.7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95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2.7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95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2.7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95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2.7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95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2.7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95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2.7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95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2.7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95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2.7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95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2.7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95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2.7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95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2.7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95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2.7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95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2.7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95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2.7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95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2.7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95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2.7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95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2.7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95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2.7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95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2.7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95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2.7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95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2.7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95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2.7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95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2.7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95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2.7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95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2.7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95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2.7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95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2.7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95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2.7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95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2.7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95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2.7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95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2.7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95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2.7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95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2.7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95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2.7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95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2.7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95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2.7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95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2.7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95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2.7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95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2.7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95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2.7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95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2.7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95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2.7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95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2.7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95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2.7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95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2.7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95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2.7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95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2.7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95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2.7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95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2.7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95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2.7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95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2.7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95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2.7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95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2.7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95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2.7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95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2.7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95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2.7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95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2.7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95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2.7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95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2.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95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2.7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95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2.7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95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2.7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95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2.7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95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2.7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95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2.7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95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2.7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95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2.7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95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2.7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95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2.7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95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2.7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95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2.7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95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2.7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95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2.7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95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2.7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95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2.7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95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2.7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95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2.7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95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2.7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95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2.7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95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2.7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95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2.7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95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2.7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95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2.7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95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2.7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95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2.7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95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2.7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95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2.7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95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2.7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95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2.7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95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2.7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95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2.7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95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2.7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95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2.7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95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2.7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95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2.7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95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2.7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95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2.7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95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2.7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95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2.7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95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2.7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95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2.7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95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2.7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95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2.7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95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2.7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95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2.7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95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2.7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95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2.7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95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2.7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95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2.7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95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2.7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95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2.7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95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2.7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95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2.7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95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2.7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95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2.7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95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2.7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95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2.7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95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2.7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95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2.7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95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2.7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95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2.7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95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2.7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95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2.7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95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2.7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95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2.7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95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2.7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95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2.7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95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2.7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95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2.7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95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2.7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95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2.7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95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2.7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95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2.7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95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2.7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95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2.7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95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2.7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95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2.7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95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2.7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95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2.7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95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2.7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95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2.7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95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2.7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95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2.7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95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2.7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95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2.7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95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2.7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95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2.7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95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2.7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95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2.7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95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2.7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95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2.7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95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2.7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95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2.7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95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2.7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95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2.7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95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2.7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95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2.7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95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2.7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95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2.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95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2.7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95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2.7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95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2.7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95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2.7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95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2.7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95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2.7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95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2.7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95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2.7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95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2.7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95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2.7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95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2.7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95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2.7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95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2.7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95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2.7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95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2.7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95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2.7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95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2.7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95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2.7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95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2.7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95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2.7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95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2.7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95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2.7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95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2.7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95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2.7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95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2.7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95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2.7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95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2.7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95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2.7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95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2.7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95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2.7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95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2.7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95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2.7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95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2.7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95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2.7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95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2.7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95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2.7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95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2.7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95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2.7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95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2.7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95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2.7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95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2.7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95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2.7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95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2.7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95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2.7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95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2.7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95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2.7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95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2.7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95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2.7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95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2.7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95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2.7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95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2.7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95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2.7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95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2.7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95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2.7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95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2.7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95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2.7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95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2.7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95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2.7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95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2.7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95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2.7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95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2.7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95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2.7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95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2.7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95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2.7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95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2.7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95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2.7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95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2.7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95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2.7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95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2.7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95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2.7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95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2.7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95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2.7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95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2.7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95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2.7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95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2.7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95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2.7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95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2.7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95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2.7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95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2.7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95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2.7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95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2.7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95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2.7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95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2.7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95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2.7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95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2.7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95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2.7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95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2.7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95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2.7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95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2.7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95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2.7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95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2.7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95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2.7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95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2.7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95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2.7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95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2.7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95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2.7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95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2.7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95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2.7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95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2.7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95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2.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95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2.7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95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2.7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95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2.7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95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2.7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95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2.7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95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2.7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95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2.7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95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2.7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95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2.7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95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2.7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95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2.7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95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2.7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95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2.7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95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2.7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95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2.7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95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2.7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95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2.7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95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2.7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95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2.7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95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2.7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95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2.7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95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2.7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95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2.7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95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2.7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95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2.7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95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2.7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95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2.7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95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2.7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95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2.7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95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2.7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95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2.7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95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2.7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95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2.7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95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2.7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95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2.7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95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2.7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95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2.7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95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2.7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95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2.7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95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2.7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95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2.7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95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2.7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95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2.7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95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2.7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95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2.7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95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2.7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95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2.7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95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2.7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95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2.7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95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2.7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95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2.7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95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2.7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95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2.7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95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2.7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95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2.7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95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2.7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95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2.7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95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2.7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95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2.7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95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2.7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95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2.7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95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2.7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95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2.7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95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2.7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95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2.7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95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2.7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95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2.7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95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2.7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95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2.7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95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2.7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95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2.7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95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2.7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95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2.7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95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2.7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95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2.7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95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2.7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95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2.7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95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2.7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95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2.7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95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2.7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95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2.7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95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2.7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95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2.7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95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2.7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95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2.7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95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2.7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95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2.7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95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2.7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95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2.7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95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2.7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95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2.7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95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2.7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95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2.7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95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2.7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95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2.7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95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2.7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95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2.7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95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2.7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95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2.7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95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2.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95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2.7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95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2.7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95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2.7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95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2.7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95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2.7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95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2.7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95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2.7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95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2.7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95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2.7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95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2.7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95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2.7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95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2.7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95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2.7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95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2.7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95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2.7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95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2.7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95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2.7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95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2.7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95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2.7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95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2.7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95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2.7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95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2.7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95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2.7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95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2.7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95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2.7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95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spans="1:27" ht="12.7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95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 spans="1:27" ht="12.75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95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spans="1:27" ht="12.7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95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 spans="1:27" ht="12.75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95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 spans="1:27" ht="12.7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95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 spans="1:27" ht="12.75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95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 spans="1:27" ht="12.7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95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 spans="1:27" ht="12.75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95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 spans="1:27" ht="12.7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95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 spans="1:27" ht="12.75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95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 spans="1:27" ht="12.7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95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 spans="1:27" ht="12.75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95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 spans="1:27" ht="12.7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95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 spans="1:27" ht="12.75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95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 spans="1:27" ht="12.7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95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 spans="1:27" ht="12.75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95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 spans="1:27" ht="12.7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95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 spans="1:27" ht="12.75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95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 spans="1:27" ht="12.7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95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 spans="1:27" ht="12.75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95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 spans="1:27" ht="12.7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95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 spans="1:27" ht="12.75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95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 spans="1:27" ht="12.7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95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 spans="1:27" ht="12.75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95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 spans="1:27" ht="12.7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95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 spans="1:27" ht="12.75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95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</sheetData>
  <autoFilter ref="A1:P466" xr:uid="{00000000-0009-0000-0000-000000000000}"/>
  <customSheetViews>
    <customSheetView guid="{40D27C16-EE5A-423C-B5F5-FA7E1FCF27D9}" filter="1" showAutoFilter="1">
      <pageMargins left="0.7" right="0.7" top="0.75" bottom="0.75" header="0.3" footer="0.3"/>
      <autoFilter ref="R3" xr:uid="{CD27C8DF-CCA2-4E20-8321-A0EAA3DFC4B7}"/>
    </customSheetView>
  </customSheetViews>
  <mergeCells count="16">
    <mergeCell ref="O4:O5"/>
    <mergeCell ref="N469:P469"/>
    <mergeCell ref="N473:P473"/>
    <mergeCell ref="A1:G1"/>
    <mergeCell ref="A2:G2"/>
    <mergeCell ref="A3:P3"/>
    <mergeCell ref="A4:A5"/>
    <mergeCell ref="B4:B5"/>
    <mergeCell ref="C4:C5"/>
    <mergeCell ref="D4:E4"/>
    <mergeCell ref="P4:P5"/>
    <mergeCell ref="F4:G4"/>
    <mergeCell ref="H4:H5"/>
    <mergeCell ref="I4:I5"/>
    <mergeCell ref="J4:M4"/>
    <mergeCell ref="N4:N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Tổng Nhân lực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Thanh DUY Nguyen</cp:lastModifiedBy>
  <dcterms:modified xsi:type="dcterms:W3CDTF">2026-01-09T02:41:26Z</dcterms:modified>
</cp:coreProperties>
</file>